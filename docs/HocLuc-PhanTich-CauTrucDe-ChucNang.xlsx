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16_TongHop" sheetId="2" state="visible" r:id="rId4"/>
    <sheet name="01_CauTrucDe" sheetId="3" state="visible" r:id="rId5"/>
    <sheet name="02_TiengViet" sheetId="4" state="visible" r:id="rId6"/>
    <sheet name="03_TiengAnh" sheetId="5" state="visible" r:id="rId7"/>
    <sheet name="04_ToanHoc" sheetId="6" state="visible" r:id="rId8"/>
    <sheet name="05_TDKH_Logic" sheetId="7" state="visible" r:id="rId9"/>
    <sheet name="06_TDKH_SuyLuan" sheetId="8" state="visible" r:id="rId10"/>
    <sheet name="07_CayNoiDung" sheetId="9" state="visible" r:id="rId11"/>
    <sheet name="08_RangBuoc" sheetId="10" state="visible" r:id="rId12"/>
    <sheet name="09_Actor" sheetId="11" state="visible" r:id="rId13"/>
    <sheet name="10_PhanHe" sheetId="12" state="visible" r:id="rId14"/>
    <sheet name="11_ChucNang" sheetId="13" state="visible" r:id="rId15"/>
    <sheet name="12_ThucThe" sheetId="14" state="visible" r:id="rId16"/>
    <sheet name="13_GiaDinh" sheetId="15" state="visible" r:id="rId17"/>
    <sheet name="14_RuiRo" sheetId="16" state="visible" r:id="rId18"/>
    <sheet name="15_Nguon" sheetId="17" state="visible" r:id="rId19"/>
  </sheets>
  <definedNames>
    <definedName function="false" hidden="true" localSheetId="2" name="_xlnm._FilterDatabase" vbProcedure="false">01_CauTrucDe!$A$3:$E$9</definedName>
    <definedName function="false" hidden="true" localSheetId="3" name="_xlnm._FilterDatabase" vbProcedure="false">02_TiengViet!$A$3:$C$11</definedName>
    <definedName function="false" hidden="true" localSheetId="4" name="_xlnm._FilterDatabase" vbProcedure="false">03_TiengAnh!$A$3:$C$9</definedName>
    <definedName function="false" hidden="true" localSheetId="5" name="_xlnm._FilterDatabase" vbProcedure="false">04_ToanHoc!$A$3:$B$13</definedName>
    <definedName function="false" hidden="true" localSheetId="6" name="_xlnm._FilterDatabase" vbProcedure="false">05_TDKH_Logic!$A$3:$C$8</definedName>
    <definedName function="false" hidden="true" localSheetId="7" name="_xlnm._FilterDatabase" vbProcedure="false">06_TDKH_SuyLuan!$A$3:$C$6</definedName>
    <definedName function="false" hidden="true" localSheetId="8" name="_xlnm._FilterDatabase" vbProcedure="false">07_CayNoiDung!$A$3:$D$8</definedName>
    <definedName function="false" hidden="true" localSheetId="9" name="_xlnm._FilterDatabase" vbProcedure="false">08_RangBuoc!$A$3:$C$15</definedName>
    <definedName function="false" hidden="true" localSheetId="10" name="_xlnm._FilterDatabase" vbProcedure="false">09_Actor!$A$3:$C$15</definedName>
    <definedName function="false" hidden="true" localSheetId="11" name="_xlnm._FilterDatabase" vbProcedure="false">10_PhanHe!$A$3:$D$12</definedName>
    <definedName function="false" hidden="true" localSheetId="12" name="_xlnm._FilterDatabase" vbProcedure="false">11_ChucNang!$A$3:$E$52</definedName>
    <definedName function="false" hidden="true" localSheetId="13" name="_xlnm._FilterDatabase" vbProcedure="false">12_ThucThe!$A$3:$C$10</definedName>
    <definedName function="false" hidden="true" localSheetId="14" name="_xlnm._FilterDatabase" vbProcedure="false">13_GiaDinh!$A$3:$C$8</definedName>
    <definedName function="false" hidden="true" localSheetId="15" name="_xlnm._FilterDatabase" vbProcedure="false">14_RuiRo!$A$3:$D$9</definedName>
    <definedName function="false" hidden="true" localSheetId="16" name="_xlnm._FilterDatabase" vbProcedure="false">15_Nguon!$A$3:$B$10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<sst xmlns="http://schemas.openxmlformats.org/spreadsheetml/2006/main" count="664" uniqueCount="532">
  <si>
    <t xml:space="preserve">HocLuc.com - Phan tich cau truc de V-ACT &amp; chuc nang he thong</t>
  </si>
  <si>
    <t xml:space="preserve">Ngay lap: 19/09/2026</t>
  </si>
  <si>
    <t xml:space="preserve">Workbook nay la ban trich bang cua tai lieu phan tich cung ten.</t>
  </si>
  <si>
    <t xml:space="preserve">Ban van xuoi day du nam trong file Word di kem.</t>
  </si>
  <si>
    <t xml:space="preserve">Cach dung:</t>
  </si>
  <si>
    <t xml:space="preserve">- Sheet 01-06: cau truc de thi va noi dung tung phan, dung lam khung gan the cho ngan hang cau hoi.</t>
  </si>
  <si>
    <t xml:space="preserve">- Sheet 07: quy tac ma hoa cay noi dung, ap dung cho moi noi dung tren he thong.</t>
  </si>
  <si>
    <t xml:space="preserve">- Sheet 08: 12 rang buoc thiet ke, la dau vao de viet business rule (BR-xx) o buoc sau.</t>
  </si>
  <si>
    <t xml:space="preserve">- Sheet 09-10: actor va phan he.</t>
  </si>
  <si>
    <t xml:space="preserve">- Sheet 11: 49 chuc nang chinh kem do uu tien MoSCoW (M/S/C/W).</t>
  </si>
  <si>
    <t xml:space="preserve">- Sheet 12-14: thuc the du lieu, gia dinh va rui ro.</t>
  </si>
  <si>
    <t xml:space="preserve">- Sheet 15: nguon tham khao.</t>
  </si>
  <si>
    <t xml:space="preserve">Luu y: so lieu cau truc de lay tu cong bo nam 2026. Cau truc nam 2027 chua duoc cong bo</t>
  </si>
  <si>
    <t xml:space="preserve">tinh den ngay lap tai lieu; can doi chieu lai voi ĐHQG-HCM truoc khi dung chinh thuc.</t>
  </si>
  <si>
    <t xml:space="preserve">Tong hop uu tien chuc nang (tinh truc tiep tu sheet 11_ChucNang)</t>
  </si>
  <si>
    <t xml:space="preserve">Do uu tien</t>
  </si>
  <si>
    <t xml:space="preserve">Y nghia</t>
  </si>
  <si>
    <t xml:space="preserve">So chuc nang</t>
  </si>
  <si>
    <t xml:space="preserve">M</t>
  </si>
  <si>
    <t xml:space="preserve">Bat buoc co trong mua thi dau tien</t>
  </si>
  <si>
    <t xml:space="preserve">S</t>
  </si>
  <si>
    <t xml:space="preserve">Nen co</t>
  </si>
  <si>
    <t xml:space="preserve">C</t>
  </si>
  <si>
    <t xml:space="preserve">Co thi tot</t>
  </si>
  <si>
    <t xml:space="preserve">W</t>
  </si>
  <si>
    <t xml:space="preserve">De mua sau</t>
  </si>
  <si>
    <t xml:space="preserve">Tong cong</t>
  </si>
  <si>
    <t xml:space="preserve">So chuc nang theo nhom nghiep vu</t>
  </si>
  <si>
    <t xml:space="preserve">Nhom</t>
  </si>
  <si>
    <t xml:space="preserve">Trong do bat buoc (M)</t>
  </si>
  <si>
    <t xml:space="preserve">A. Ngân hàng câu hỏi và luyện thi</t>
  </si>
  <si>
    <t xml:space="preserve">B. Gói bán và khoá học online</t>
  </si>
  <si>
    <t xml:space="preserve">C. Livestream và trợ giảng hỏi đáp</t>
  </si>
  <si>
    <t xml:space="preserve">D. Công cụ học tập trực tuyến</t>
  </si>
  <si>
    <t xml:space="preserve">E. Vận hành trung tâm và báo cáo</t>
  </si>
  <si>
    <t xml:space="preserve">Nguon so lieu: sheet 11_ChucNang trong chinh workbook nay.</t>
  </si>
  <si>
    <t xml:space="preserve">Cau truc de V-ACT 2026 - phan bo cau hoi va diem</t>
  </si>
  <si>
    <t xml:space="preserve">Phần</t>
  </si>
  <si>
    <t xml:space="preserve">Thành phần</t>
  </si>
  <si>
    <t xml:space="preserve">Số câu</t>
  </si>
  <si>
    <t xml:space="preserve">Tỷ lệ</t>
  </si>
  <si>
    <t xml:space="preserve">Điểm tối đa</t>
  </si>
  <si>
    <t xml:space="preserve">1. Sử dụng ngôn ngữ</t>
  </si>
  <si>
    <t xml:space="preserve">Tiếng Việt</t>
  </si>
  <si>
    <t xml:space="preserve">30</t>
  </si>
  <si>
    <t xml:space="preserve">25%</t>
  </si>
  <si>
    <t xml:space="preserve">300</t>
  </si>
  <si>
    <t xml:space="preserve">Tiếng Anh</t>
  </si>
  <si>
    <t xml:space="preserve">2. Toán học</t>
  </si>
  <si>
    <t xml:space="preserve">Toán học</t>
  </si>
  <si>
    <t xml:space="preserve">3. Tư duy khoa học</t>
  </si>
  <si>
    <t xml:space="preserve">Logic, phân tích số liệu</t>
  </si>
  <si>
    <t xml:space="preserve">12</t>
  </si>
  <si>
    <t xml:space="preserve">10%</t>
  </si>
  <si>
    <t xml:space="preserve">300 (chung cả phần 3)</t>
  </si>
  <si>
    <t xml:space="preserve">Suy luận khoa học</t>
  </si>
  <si>
    <t xml:space="preserve">18</t>
  </si>
  <si>
    <t xml:space="preserve">15%</t>
  </si>
  <si>
    <t xml:space="preserve">—</t>
  </si>
  <si>
    <t xml:space="preserve">Tổng</t>
  </si>
  <si>
    <t xml:space="preserve">120</t>
  </si>
  <si>
    <t xml:space="preserve">100%</t>
  </si>
  <si>
    <t xml:space="preserve">1.200</t>
  </si>
  <si>
    <t xml:space="preserve">Phan 1A - Tieng Viet (cau 1-30)</t>
  </si>
  <si>
    <t xml:space="preserve">Phân mục</t>
  </si>
  <si>
    <t xml:space="preserve">Nội dung kiểm tra</t>
  </si>
  <si>
    <t xml:space="preserve">Dạng câu hỏi thường gặp</t>
  </si>
  <si>
    <t xml:space="preserve">Chính tả và chuẩn dùng từ</t>
  </si>
  <si>
    <t xml:space="preserve">Viết đúng, dùng đúng, lỗi thường gặp</t>
  </si>
  <si>
    <t xml:space="preserve">Chọn từ viết đúng; phát hiện từ dùng sai trong câu</t>
  </si>
  <si>
    <t xml:space="preserve">Từ vựng – ngữ nghĩa</t>
  </si>
  <si>
    <t xml:space="preserve">Nghĩa của từ trong ngữ cảnh, từ Hán Việt, đồng nghĩa – trái nghĩa, thành ngữ</t>
  </si>
  <si>
    <t xml:space="preserve">Điền từ; giải nghĩa từ gạch chân; chọn từ thay thế</t>
  </si>
  <si>
    <t xml:space="preserve">Ngữ pháp – câu</t>
  </si>
  <si>
    <t xml:space="preserve">Thành phần câu, quan hệ từ, câu sai ngữ pháp, câu mơ hồ</t>
  </si>
  <si>
    <t xml:space="preserve">Chọn câu đúng/sai; sửa lỗi câu</t>
  </si>
  <si>
    <t xml:space="preserve">Phong cách và biện pháp tu từ</t>
  </si>
  <si>
    <t xml:space="preserve">Nhận diện phong cách văn bản, ẩn dụ, hoán dụ, điệp, so sánh</t>
  </si>
  <si>
    <t xml:space="preserve">Xác định phong cách; gọi tên và nêu tác dụng biện pháp</t>
  </si>
  <si>
    <t xml:space="preserve">Liên kết và logic văn bản</t>
  </si>
  <si>
    <t xml:space="preserve">Mạch lạc, trật tự câu, câu chủ đề</t>
  </si>
  <si>
    <t xml:space="preserve">Sắp xếp câu thành đoạn; chọn câu kết đoạn</t>
  </si>
  <si>
    <t xml:space="preserve">Đọc hiểu văn bản văn học</t>
  </si>
  <si>
    <t xml:space="preserve">Thơ, truyện, sử thi, ký — nội dung, chi tiết, giọng điệu, chủ đề</t>
  </si>
  <si>
    <t xml:space="preserve">Chùm 3–5 câu trên một ngữ liệu</t>
  </si>
  <si>
    <t xml:space="preserve">Đọc hiểu văn bản nghị luận</t>
  </si>
  <si>
    <t xml:space="preserve">Luận điểm, lập luận, dẫn chứng, thái độ người viết</t>
  </si>
  <si>
    <t xml:space="preserve">Chùm câu hỏi suy luận</t>
  </si>
  <si>
    <t xml:space="preserve">Đọc hiểu văn bản thông tin</t>
  </si>
  <si>
    <t xml:space="preserve">Báo chí, khoa học phổ thông, văn bản có số liệu</t>
  </si>
  <si>
    <t xml:space="preserve">Rút thông tin; suy ra kết luận</t>
  </si>
  <si>
    <t xml:space="preserve">Phan 1B - Tieng Anh (cau 31-60)</t>
  </si>
  <si>
    <t xml:space="preserve">Dạng câu hỏi</t>
  </si>
  <si>
    <t xml:space="preserve">Ngữ pháp</t>
  </si>
  <si>
    <t xml:space="preserve">Thì động từ, câu điều kiện, mệnh đề quan hệ, bị động, câu gián tiếp, đảo ngữ</t>
  </si>
  <si>
    <t xml:space="preserve">Điền vào chỗ trống một câu</t>
  </si>
  <si>
    <t xml:space="preserve">Từ vựng – collocation</t>
  </si>
  <si>
    <t xml:space="preserve">Từ vựng theo chủ đề, kết hợp từ, giới từ, cụm động từ</t>
  </si>
  <si>
    <t xml:space="preserve">Chọn từ đúng ngữ cảnh</t>
  </si>
  <si>
    <t xml:space="preserve">Phát hiện lỗi</t>
  </si>
  <si>
    <t xml:space="preserve">Lỗi ngữ pháp hoặc dùng từ trong câu hoàn chỉnh</t>
  </si>
  <si>
    <t xml:space="preserve">Chọn phần gạch chân sai</t>
  </si>
  <si>
    <t xml:space="preserve">Viết lại câu</t>
  </si>
  <si>
    <t xml:space="preserve">Câu đồng nghĩa, kết hợp câu</t>
  </si>
  <si>
    <t xml:space="preserve">Chọn câu gần nghĩa nhất</t>
  </si>
  <si>
    <t xml:space="preserve">Điền khuyết đoạn văn (cloze)</t>
  </si>
  <si>
    <t xml:space="preserve">Một đoạn văn có 4–5 chỗ trống đánh số</t>
  </si>
  <si>
    <t xml:space="preserve">Chùm câu hỏi trên cùng đoạn</t>
  </si>
  <si>
    <t xml:space="preserve">Đọc hiểu</t>
  </si>
  <si>
    <t xml:space="preserve">Đoạn văn 150–300 từ: khoa học phổ thông, xã hội, môi trường, công nghệ</t>
  </si>
  <si>
    <t xml:space="preserve">Ý chính, chi tiết, từ thay thế, suy luận</t>
  </si>
  <si>
    <t xml:space="preserve">Phan 2 - Toan hoc (cau 61-90)</t>
  </si>
  <si>
    <t xml:space="preserve">Mạch kiến thức</t>
  </si>
  <si>
    <t xml:space="preserve">Chủ đề chính</t>
  </si>
  <si>
    <t xml:space="preserve">Hàm số và đồ thị</t>
  </si>
  <si>
    <t xml:space="preserve">Hàm bậc hai, hàm hữu tỉ, mũ – logarit, đọc đồ thị</t>
  </si>
  <si>
    <t xml:space="preserve">Phương trình – bất phương trình – hệ</t>
  </si>
  <si>
    <t xml:space="preserve">Bậc hai, chứa căn, mũ – logarit, quy hoạch tuyến tính đơn giản</t>
  </si>
  <si>
    <t xml:space="preserve">Dãy số và cấp số</t>
  </si>
  <si>
    <t xml:space="preserve">Cấp số cộng, cấp số nhân, bài toán lãi suất</t>
  </si>
  <si>
    <t xml:space="preserve">Đạo hàm và ứng dụng</t>
  </si>
  <si>
    <t xml:space="preserve">Đơn điệu, cực trị, giá trị lớn nhất – nhỏ nhất, bài toán tối ưu</t>
  </si>
  <si>
    <t xml:space="preserve">Nguyên hàm – tích phân</t>
  </si>
  <si>
    <t xml:space="preserve">Tính diện tích, thể tích, bài toán chuyển động</t>
  </si>
  <si>
    <t xml:space="preserve">Hình học phẳng và toạ độ</t>
  </si>
  <si>
    <t xml:space="preserve">Vectơ, đường thẳng, đường tròn, conic</t>
  </si>
  <si>
    <t xml:space="preserve">Hình học không gian và Oxyz</t>
  </si>
  <si>
    <t xml:space="preserve">Quan hệ vuông góc – song song, khối đa diện, mặt tròn xoay, toạ độ không gian</t>
  </si>
  <si>
    <t xml:space="preserve">Thống kê</t>
  </si>
  <si>
    <t xml:space="preserve">Mẫu số liệu ghép nhóm, số đo xu thế trung tâm và độ phân tán, biểu đồ</t>
  </si>
  <si>
    <t xml:space="preserve">Xác suất</t>
  </si>
  <si>
    <t xml:space="preserve">Biến cố, quy tắc cộng – nhân, xác suất có điều kiện, công thức Bayes</t>
  </si>
  <si>
    <t xml:space="preserve">Toán thực tế</t>
  </si>
  <si>
    <t xml:space="preserve">Tài chính cá nhân, tăng trưởng, đo đạc, tối ưu chi phí</t>
  </si>
  <si>
    <t xml:space="preserve">Phan 3.1 - Logic va phan tich so lieu (cau 91-102)</t>
  </si>
  <si>
    <t xml:space="preserve">Nhóm</t>
  </si>
  <si>
    <t xml:space="preserve">Nội dung</t>
  </si>
  <si>
    <t xml:space="preserve">Suy luận logic</t>
  </si>
  <si>
    <t xml:space="preserve">Mệnh đề điều kiện, suy diễn, phản ví dụ</t>
  </si>
  <si>
    <t xml:space="preserve">Kết luận nào chắc chắn đúng</t>
  </si>
  <si>
    <t xml:space="preserve">Bài toán sắp xếp</t>
  </si>
  <si>
    <t xml:space="preserve">Xếp chỗ, xếp lịch, ghép cặp theo ràng buộc</t>
  </si>
  <si>
    <t xml:space="preserve">Chùm 3–4 câu trên cùng bộ ràng buộc</t>
  </si>
  <si>
    <t xml:space="preserve">Quy luật</t>
  </si>
  <si>
    <t xml:space="preserve">Dãy số, dãy hình, quy luật mã hoá</t>
  </si>
  <si>
    <t xml:space="preserve">Tìm phần tử tiếp theo</t>
  </si>
  <si>
    <t xml:space="preserve">Đọc biểu đồ – bảng số liệu</t>
  </si>
  <si>
    <t xml:space="preserve">Cột, đường, tròn, bảng chéo</t>
  </si>
  <si>
    <t xml:space="preserve">Đọc giá trị, tính tỷ lệ, so sánh, tìm xu hướng</t>
  </si>
  <si>
    <t xml:space="preserve">Kết luận từ dữ liệu</t>
  </si>
  <si>
    <t xml:space="preserve">Phân biệt điều dữ liệu khẳng định và điều chỉ là suy đoán</t>
  </si>
  <si>
    <t xml:space="preserve">Nhận định nào được dữ liệu hỗ trợ</t>
  </si>
  <si>
    <t xml:space="preserve">Phan 3.2 - Suy luan khoa hoc (cau 103-120)</t>
  </si>
  <si>
    <t xml:space="preserve">Kiểu ngữ liệu</t>
  </si>
  <si>
    <t xml:space="preserve">Mô tả</t>
  </si>
  <si>
    <t xml:space="preserve">Năng lực đo</t>
  </si>
  <si>
    <t xml:space="preserve">Biểu diễn dữ liệu</t>
  </si>
  <si>
    <t xml:space="preserve">Đồ thị, bảng kết quả đo đạc kèm chú giải</t>
  </si>
  <si>
    <t xml:space="preserve">Đọc, nội suy, ngoại suy</t>
  </si>
  <si>
    <t xml:space="preserve">Tóm tắt thí nghiệm</t>
  </si>
  <si>
    <t xml:space="preserve">Một chuỗi thí nghiệm có biến đổi điều kiện</t>
  </si>
  <si>
    <t xml:space="preserve">Hiểu thiết kế, xác định biến, dự đoán kết quả</t>
  </si>
  <si>
    <t xml:space="preserve">Quan điểm xung đột</t>
  </si>
  <si>
    <t xml:space="preserve">Hai hoặc ba giả thuyết trái chiều về cùng hiện tượng</t>
  </si>
  <si>
    <t xml:space="preserve">So sánh lập luận, tìm bằng chứng ủng hộ hoặc bác bỏ</t>
  </si>
  <si>
    <t xml:space="preserve">Quy tac ma hoa cay noi dung 5 cap</t>
  </si>
  <si>
    <t xml:space="preserve">Cấp</t>
  </si>
  <si>
    <t xml:space="preserve">Tên gọi</t>
  </si>
  <si>
    <t xml:space="preserve">Ví dụ mã</t>
  </si>
  <si>
    <t xml:space="preserve">Dùng để làm gì</t>
  </si>
  <si>
    <t xml:space="preserve">1</t>
  </si>
  <si>
    <t xml:space="preserve">Học phần</t>
  </si>
  <si>
    <t xml:space="preserve">TD</t>
  </si>
  <si>
    <t xml:space="preserve">Chia gói bán, chia điểm thành phần, chia lộ trình</t>
  </si>
  <si>
    <t xml:space="preserve">2</t>
  </si>
  <si>
    <t xml:space="preserve">Nhóm chủ đề</t>
  </si>
  <si>
    <t xml:space="preserve">TD.02</t>
  </si>
  <si>
    <t xml:space="preserve">Tổ chức chương trình học và menu kho nội dung</t>
  </si>
  <si>
    <t xml:space="preserve">3</t>
  </si>
  <si>
    <t xml:space="preserve">Chủ đề</t>
  </si>
  <si>
    <t xml:space="preserve">TD.02.03 Tóm tắt thí nghiệm</t>
  </si>
  <si>
    <t xml:space="preserve">Đơn vị bài học, đơn vị bài luyện</t>
  </si>
  <si>
    <t xml:space="preserve">4</t>
  </si>
  <si>
    <t xml:space="preserve">Kỹ năng</t>
  </si>
  <si>
    <t xml:space="preserve">TD.02.03.a Xác định biến độc lập</t>
  </si>
  <si>
    <t xml:space="preserve">Gắn vào từng câu hỏi, sinh báo cáo điểm yếu</t>
  </si>
  <si>
    <t xml:space="preserve">5</t>
  </si>
  <si>
    <t xml:space="preserve">Thẻ tri thức</t>
  </si>
  <si>
    <t xml:space="preserve">TD.02.03.a#k1</t>
  </si>
  <si>
    <t xml:space="preserve">Gợi ý ôn lại, flashcard, liên kết video tại phút thứ n</t>
  </si>
  <si>
    <t xml:space="preserve">Dac tinh ky thi -&gt; rang buoc he thong</t>
  </si>
  <si>
    <t xml:space="preserve">#</t>
  </si>
  <si>
    <t xml:space="preserve">Đặc tính kỳ thi</t>
  </si>
  <si>
    <t xml:space="preserve">Ràng buộc lên hệ thống</t>
  </si>
  <si>
    <t xml:space="preserve">120 câu trong 150 phút, không chia thời gian riêng từng phần</t>
  </si>
  <si>
    <t xml:space="preserve">Một đồng hồ duy nhất cho cả bài; tự nộp khi hết giờ; tự lưu bài liên tục</t>
  </si>
  <si>
    <t xml:space="preserve">Thi trên giấy, tô phiếu trả lời</t>
  </si>
  <si>
    <t xml:space="preserve">Phải xuất được đề PDF và phiếu tô; có luồng nhập/quét kết quả cho buổi thi thử tại trung tâm</t>
  </si>
  <si>
    <t xml:space="preserve">Thang 1.200 điểm, bốn thành phần 300 điểm, câu có trọng số khác nhau</t>
  </si>
  <si>
    <t xml:space="preserve">Bộ chấm phải tách khỏi "đếm câu đúng"; hỗ trợ nhiều công thức quy đổi, có phiên bản</t>
  </si>
  <si>
    <t xml:space="preserve">Thứ tự phần cố định: 1–30, 31–60, 61–90, 91–120</t>
  </si>
  <si>
    <t xml:space="preserve">Blueprint quy định vị trí từng ô; không được trộn chéo giữa các phần</t>
  </si>
  <si>
    <t xml:space="preserve">Nhiều câu dùng chung một ngữ liệu</t>
  </si>
  <si>
    <t xml:space="preserve">Đơn vị rút ngẫu nhiên là chùm ngữ liệu; ngữ liệu là thực thể độc lập</t>
  </si>
  <si>
    <t xml:space="preserve">6</t>
  </si>
  <si>
    <t xml:space="preserve">Nhịp độ 1,25 phút mỗi câu</t>
  </si>
  <si>
    <t xml:space="preserve">Ghi dấu thời gian ở mức từng câu; báo cáo tốc độ và cảnh báo câu sa lầy</t>
  </si>
  <si>
    <t xml:space="preserve">7</t>
  </si>
  <si>
    <t xml:space="preserve">Phần 3 không đòi kiến thức môn chuyên sâu</t>
  </si>
  <si>
    <t xml:space="preserve">Phân loại nội dung theo kỹ năng, không theo môn học</t>
  </si>
  <si>
    <t xml:space="preserve">8</t>
  </si>
  <si>
    <t xml:space="preserve">Toán có công thức, đồ thị, hình không gian</t>
  </si>
  <si>
    <t xml:space="preserve">Lưu LaTeX, render được ở mọi nơi; bộ gõ công thức; máy tính khoa học ảo</t>
  </si>
  <si>
    <t xml:space="preserve">9</t>
  </si>
  <si>
    <t xml:space="preserve">Ngữ liệu văn học và khoa học lấy từ nguồn ngoài</t>
  </si>
  <si>
    <t xml:space="preserve">Mỗi ngữ liệu có trường nguồn, tác giả, tình trạng bản quyền; chặn xuất bản khi chưa rõ</t>
  </si>
  <si>
    <t xml:space="preserve">10</t>
  </si>
  <si>
    <t xml:space="preserve">Hai đợt thi mỗi năm, tháng 4 và tháng 5</t>
  </si>
  <si>
    <t xml:space="preserve">Gói bán gắn mùa vụ và hạn dùng theo ngày thi; lộ trình học đếm ngược đến ngày thi đã chọn</t>
  </si>
  <si>
    <t xml:space="preserve">11</t>
  </si>
  <si>
    <t xml:space="preserve">Thi ở nhiều tỉnh, trung tâm đặt tại Khu đô thị ĐHQG-HCM</t>
  </si>
  <si>
    <t xml:space="preserve">Hồ sơ học viên phân biệt online toàn quốc và offline tại chỗ; có sức chứa phòng và điểm danh</t>
  </si>
  <si>
    <t xml:space="preserve">Cấu trúc đề có thể đổi theo năm</t>
  </si>
  <si>
    <t xml:space="preserve">Blueprint là dữ liệu có phiên bản, không phải hằng số trong mã nguồn</t>
  </si>
  <si>
    <t xml:space="preserve">Danh sach actor</t>
  </si>
  <si>
    <t xml:space="preserve">Actor</t>
  </si>
  <si>
    <t xml:space="preserve">Loại</t>
  </si>
  <si>
    <t xml:space="preserve">Mục tiêu chính khi dùng hệ thống</t>
  </si>
  <si>
    <t xml:space="preserve">Học sinh</t>
  </si>
  <si>
    <t xml:space="preserve">Bên ngoài</t>
  </si>
  <si>
    <t xml:space="preserve">Biết mình yếu chỗ nào và cải thiện điểm trước ngày thi</t>
  </si>
  <si>
    <t xml:space="preserve">Phụ huynh</t>
  </si>
  <si>
    <t xml:space="preserve">Thấy tiến độ, thanh toán, yên tâm về khoản đầu tư</t>
  </si>
  <si>
    <t xml:space="preserve">Khách vãng lai</t>
  </si>
  <si>
    <t xml:space="preserve">Làm thử một đề miễn phí rồi quyết định mua</t>
  </si>
  <si>
    <t xml:space="preserve">Giảng viên</t>
  </si>
  <si>
    <t xml:space="preserve">Bên trong</t>
  </si>
  <si>
    <t xml:space="preserve">Dạy live, soạn bài giảng, xem phổ điểm lớp</t>
  </si>
  <si>
    <t xml:space="preserve">Trợ giảng</t>
  </si>
  <si>
    <t xml:space="preserve">Trả lời câu hỏi đúng hạn, chấm bài, nhắc học sinh bỏ học</t>
  </si>
  <si>
    <t xml:space="preserve">Biên tập viên nội dung</t>
  </si>
  <si>
    <t xml:space="preserve">Soạn ngữ liệu và câu hỏi đúng thẻ, đúng blueprint</t>
  </si>
  <si>
    <t xml:space="preserve">Thẩm định viên học thuật</t>
  </si>
  <si>
    <t xml:space="preserve">Duyệt hoặc trả lại câu hỏi; giữ chuẩn đề và bản quyền</t>
  </si>
  <si>
    <t xml:space="preserve">Vận hành trung tâm</t>
  </si>
  <si>
    <t xml:space="preserve">Xếp lớp, xếp buổi thi thử, điểm danh tại cơ sở</t>
  </si>
  <si>
    <t xml:space="preserve">Tư vấn – bán hàng</t>
  </si>
  <si>
    <t xml:space="preserve">Chăm khách quan tâm, xử lý đơn và khiếu nại</t>
  </si>
  <si>
    <t xml:space="preserve">Quản trị hệ thống</t>
  </si>
  <si>
    <t xml:space="preserve">Phân quyền, cấu hình blueprint, xem nhật ký</t>
  </si>
  <si>
    <t xml:space="preserve">Cổng thanh toán, hạ tầng live, kênh thông báo</t>
  </si>
  <si>
    <t xml:space="preserve">Hệ thống ngoài</t>
  </si>
  <si>
    <t xml:space="preserve">Thu tiền, phát sóng, gửi nhắc</t>
  </si>
  <si>
    <t xml:space="preserve">Bộ lập lịch</t>
  </si>
  <si>
    <t xml:space="preserve">Thời gian</t>
  </si>
  <si>
    <t xml:space="preserve">Mở/đóng gói, nhắc buổi live, đóng ticket quá hạn, tính lại độ khó</t>
  </si>
  <si>
    <t xml:space="preserve">Chin phan he cua HocLuc.com</t>
  </si>
  <si>
    <t xml:space="preserve">Mã</t>
  </si>
  <si>
    <t xml:space="preserve">Phân hệ</t>
  </si>
  <si>
    <t xml:space="preserve">Trách nhiệm</t>
  </si>
  <si>
    <t xml:space="preserve">Actor chính</t>
  </si>
  <si>
    <t xml:space="preserve">PH1</t>
  </si>
  <si>
    <t xml:space="preserve">Ngân hàng ngữ liệu và câu hỏi</t>
  </si>
  <si>
    <t xml:space="preserve">Soạn, gắn thẻ, thẩm định, phiên bản hoá, quản lý bản quyền</t>
  </si>
  <si>
    <t xml:space="preserve">BTV, TDV</t>
  </si>
  <si>
    <t xml:space="preserve">PH2</t>
  </si>
  <si>
    <t xml:space="preserve">Đề thi và luyện tập</t>
  </si>
  <si>
    <t xml:space="preserve">Blueprint, sinh đề, làm bài, chấm, phân tích kết quả</t>
  </si>
  <si>
    <t xml:space="preserve">Học sinh, QTV</t>
  </si>
  <si>
    <t xml:space="preserve">PH3</t>
  </si>
  <si>
    <t xml:space="preserve">Khoá học và lộ trình</t>
  </si>
  <si>
    <t xml:space="preserve">Bài giảng video, chương trình học, tiến độ, chứng nhận</t>
  </si>
  <si>
    <t xml:space="preserve">Học sinh, GV</t>
  </si>
  <si>
    <t xml:space="preserve">PH4</t>
  </si>
  <si>
    <t xml:space="preserve">Livestream và studio</t>
  </si>
  <si>
    <t xml:space="preserve">Lịch live, phòng phát, công cụ minh hoạ, ghi hình, xem lại</t>
  </si>
  <si>
    <t xml:space="preserve">GV, Học sinh</t>
  </si>
  <si>
    <t xml:space="preserve">PH5</t>
  </si>
  <si>
    <t xml:space="preserve">Hỏi đáp và trợ giảng</t>
  </si>
  <si>
    <t xml:space="preserve">Đặt câu hỏi, phân công, SLA trả lời, kho câu hỏi hay</t>
  </si>
  <si>
    <t xml:space="preserve">Học sinh, TGI</t>
  </si>
  <si>
    <t xml:space="preserve">PH6</t>
  </si>
  <si>
    <t xml:space="preserve">Công cụ học tập trực tuyến</t>
  </si>
  <si>
    <t xml:space="preserve">Bộ gõ công thức, máy tính khoa học ảo, giấy nháp số, flashcard</t>
  </si>
  <si>
    <t xml:space="preserve">PH7</t>
  </si>
  <si>
    <t xml:space="preserve">Gói bán, thanh toán và quyền truy cập</t>
  </si>
  <si>
    <t xml:space="preserve">Sản phẩm, giá, khuyến mại, đơn hàng, hạn dùng, phân quyền nội dung</t>
  </si>
  <si>
    <t xml:space="preserve">Học sinh, PHH, Tư vấn</t>
  </si>
  <si>
    <t xml:space="preserve">PH8</t>
  </si>
  <si>
    <t xml:space="preserve">Vận hành trung tâm tại Khu đô thị ĐHQG</t>
  </si>
  <si>
    <t xml:space="preserve">Lớp offline, buổi thi thử tập trung, phòng, điểm danh, trả kết quả giấy</t>
  </si>
  <si>
    <t xml:space="preserve">VHT, Học sinh</t>
  </si>
  <si>
    <t xml:space="preserve">PH9</t>
  </si>
  <si>
    <t xml:space="preserve">Báo cáo và quản trị</t>
  </si>
  <si>
    <t xml:space="preserve">Báo cáo học tập, báo cáo kinh doanh, người dùng, nhật ký hệ thống</t>
  </si>
  <si>
    <t xml:space="preserve">QTV, GV, PHH</t>
  </si>
  <si>
    <t xml:space="preserve">Danh sach chuc nang chinh (MoSCoW)</t>
  </si>
  <si>
    <t xml:space="preserve">Chức năng</t>
  </si>
  <si>
    <t xml:space="preserve">Ưu tiên</t>
  </si>
  <si>
    <t xml:space="preserve">A1</t>
  </si>
  <si>
    <t xml:space="preserve">Quản lý cây nội dung</t>
  </si>
  <si>
    <t xml:space="preserve">Tạo, sửa, phiên bản hoá cây 5 cấp theo năm thi</t>
  </si>
  <si>
    <t xml:space="preserve">A2</t>
  </si>
  <si>
    <t xml:space="preserve">Soạn ngữ liệu</t>
  </si>
  <si>
    <t xml:space="preserve">Trình soạn rich text + công thức + bảng + hình, ghi nguồn và bản quyền</t>
  </si>
  <si>
    <t xml:space="preserve">A3</t>
  </si>
  <si>
    <t xml:space="preserve">Soạn câu hỏi</t>
  </si>
  <si>
    <t xml:space="preserve">Gắn ngữ liệu, phương án, đáp án, lời giải, thẻ kỹ năng, mức nhận thức</t>
  </si>
  <si>
    <t xml:space="preserve">A4</t>
  </si>
  <si>
    <t xml:space="preserve">Quy trình thẩm định</t>
  </si>
  <si>
    <t xml:space="preserve">Nháp → chờ duyệt → duyệt → xuất bản → ngưng, có ghi chú trả lại</t>
  </si>
  <si>
    <t xml:space="preserve">A5</t>
  </si>
  <si>
    <t xml:space="preserve">Nhập hàng loạt</t>
  </si>
  <si>
    <t xml:space="preserve">Nhập từ Word/Excel theo mẫu, kiểm lỗi trước khi lưu</t>
  </si>
  <si>
    <t xml:space="preserve">A6</t>
  </si>
  <si>
    <t xml:space="preserve">Blueprint đề thi</t>
  </si>
  <si>
    <t xml:space="preserve">Cấu hình số câu, vị trí, tỷ lệ độ khó theo từng năm</t>
  </si>
  <si>
    <t xml:space="preserve">A7</t>
  </si>
  <si>
    <t xml:space="preserve">Sinh đề tự động</t>
  </si>
  <si>
    <t xml:space="preserve">Rút theo blueprint, đơn vị rút là chùm ngữ liệu, tránh lặp với đề đã làm</t>
  </si>
  <si>
    <t xml:space="preserve">A8</t>
  </si>
  <si>
    <t xml:space="preserve">Làm bài thi thử toàn đề</t>
  </si>
  <si>
    <t xml:space="preserve">120 câu, 150 phút, đồng hồ, đánh dấu câu, tự lưu, tự nộp</t>
  </si>
  <si>
    <t xml:space="preserve">A9</t>
  </si>
  <si>
    <t xml:space="preserve">Luyện theo học phần và chủ đề</t>
  </si>
  <si>
    <t xml:space="preserve">Chọn nhánh cây nội dung, chọn số câu, có hoặc không giới hạn giờ</t>
  </si>
  <si>
    <t xml:space="preserve">A10</t>
  </si>
  <si>
    <t xml:space="preserve">Chấm và quy đổi thang 1.200</t>
  </si>
  <si>
    <t xml:space="preserve">Chấm theo trọng số câu, tách 4 điểm thành phần, công thức có phiên bản</t>
  </si>
  <si>
    <t xml:space="preserve">A11</t>
  </si>
  <si>
    <t xml:space="preserve">Báo cáo sau bài làm</t>
  </si>
  <si>
    <t xml:space="preserve">Điểm thành phần, điểm theo kỹ năng, thời gian từng câu, câu sa lầy</t>
  </si>
  <si>
    <t xml:space="preserve">A12</t>
  </si>
  <si>
    <t xml:space="preserve">Sổ lỗi sai</t>
  </si>
  <si>
    <t xml:space="preserve">Tự gom câu sai, đề xuất làm lại theo lịch lặp ngắt quãng</t>
  </si>
  <si>
    <t xml:space="preserve">A13</t>
  </si>
  <si>
    <t xml:space="preserve">Phổ điểm và xếp hạng</t>
  </si>
  <si>
    <t xml:space="preserve">So sánh với toàn bộ thí sinh cùng đề, dự báo điểm</t>
  </si>
  <si>
    <t xml:space="preserve">A14</t>
  </si>
  <si>
    <t xml:space="preserve">Phân tích chất lượng câu hỏi</t>
  </si>
  <si>
    <t xml:space="preserve">Tỷ lệ đúng, độ phân biệt, cảnh báo câu hỏng</t>
  </si>
  <si>
    <t xml:space="preserve">B1</t>
  </si>
  <si>
    <t xml:space="preserve">Danh mục gói</t>
  </si>
  <si>
    <t xml:space="preserve">Gói theo học phần, gói trọn bộ, gói thi thử, gói live</t>
  </si>
  <si>
    <t xml:space="preserve">B2</t>
  </si>
  <si>
    <t xml:space="preserve">Giỏ hàng và thanh toán</t>
  </si>
  <si>
    <t xml:space="preserve">Tích hợp cổng thanh toán nội địa, xuất biên lai</t>
  </si>
  <si>
    <t xml:space="preserve">B3</t>
  </si>
  <si>
    <t xml:space="preserve">Quyền truy cập theo gói</t>
  </si>
  <si>
    <t xml:space="preserve">Mỗi nội dung chỉ mở cho gói tương ứng, hạn dùng theo ngày thi</t>
  </si>
  <si>
    <t xml:space="preserve">B4</t>
  </si>
  <si>
    <t xml:space="preserve">Học thử miễn phí</t>
  </si>
  <si>
    <t xml:space="preserve">Một đề rút gọn và vài bài giảng mở, có chức năng chuyển đổi</t>
  </si>
  <si>
    <t xml:space="preserve">B5</t>
  </si>
  <si>
    <t xml:space="preserve">Khoá học video</t>
  </si>
  <si>
    <t xml:space="preserve">Chương – bài – video, tài liệu đính kèm, ghi tiến độ xem</t>
  </si>
  <si>
    <t xml:space="preserve">B6</t>
  </si>
  <si>
    <t xml:space="preserve">Lộ trình học cá nhân</t>
  </si>
  <si>
    <t xml:space="preserve">Sinh lộ trình từ kết quả bài kiểm tra đầu vào và ngày thi mục tiêu</t>
  </si>
  <si>
    <t xml:space="preserve">B7</t>
  </si>
  <si>
    <t xml:space="preserve">Chống chia sẻ tài khoản</t>
  </si>
  <si>
    <t xml:space="preserve">Giới hạn thiết bị, đóng dấu mờ video theo người xem</t>
  </si>
  <si>
    <t xml:space="preserve">B8</t>
  </si>
  <si>
    <t xml:space="preserve">Khuyến mại và giới thiệu bạn</t>
  </si>
  <si>
    <t xml:space="preserve">Mã giảm giá, giá nhóm, hoa hồng giới thiệu</t>
  </si>
  <si>
    <t xml:space="preserve">B9</t>
  </si>
  <si>
    <t xml:space="preserve">Cổng phụ huynh</t>
  </si>
  <si>
    <t xml:space="preserve">Xem tiến độ và điểm của con, nhận báo cáo định kỳ</t>
  </si>
  <si>
    <t xml:space="preserve">B10</t>
  </si>
  <si>
    <t xml:space="preserve">Hoàn tiền và khiếu nại</t>
  </si>
  <si>
    <t xml:space="preserve">Quy trình xử lý, trạng thái đơn</t>
  </si>
  <si>
    <t xml:space="preserve">C1</t>
  </si>
  <si>
    <t xml:space="preserve">Lịch livestream</t>
  </si>
  <si>
    <t xml:space="preserve">Lịch theo học phần và giảng viên, đăng ký tham dự, nhắc trước giờ</t>
  </si>
  <si>
    <t xml:space="preserve">C2</t>
  </si>
  <si>
    <t xml:space="preserve">Phòng live</t>
  </si>
  <si>
    <t xml:space="preserve">Phát sóng, chat, giơ tay, chặn người không có quyền</t>
  </si>
  <si>
    <t xml:space="preserve">C3</t>
  </si>
  <si>
    <t xml:space="preserve">Công cụ studio cho giảng viên</t>
  </si>
  <si>
    <t xml:space="preserve">Bảng viết số có gõ công thức, chiếu câu hỏi từ ngân hàng, chèn đồ thị và hình minh hoạ</t>
  </si>
  <si>
    <t xml:space="preserve">C4</t>
  </si>
  <si>
    <t xml:space="preserve">Bỏ phiếu nhanh trong buổi live</t>
  </si>
  <si>
    <t xml:space="preserve">Đẩy một câu hỏi cho cả lớp, xem phân bố đáp án tức thì</t>
  </si>
  <si>
    <t xml:space="preserve">C5</t>
  </si>
  <si>
    <t xml:space="preserve">Ghi hình và xem lại</t>
  </si>
  <si>
    <t xml:space="preserve">Tự lưu bản ghi vào khoá học, có mốc thời gian theo chủ đề</t>
  </si>
  <si>
    <t xml:space="preserve">C6</t>
  </si>
  <si>
    <t xml:space="preserve">Đặt câu hỏi cho trợ giảng</t>
  </si>
  <si>
    <t xml:space="preserve">Tạo ticket kèm ảnh, công thức, trỏ tới câu hỏi hoặc bài giảng đang xem</t>
  </si>
  <si>
    <t xml:space="preserve">C7</t>
  </si>
  <si>
    <t xml:space="preserve">Phân công và SLA</t>
  </si>
  <si>
    <t xml:space="preserve">Tự chia ticket theo học phần, đếm giờ trả lời, leo thang khi trễ</t>
  </si>
  <si>
    <t xml:space="preserve">C8</t>
  </si>
  <si>
    <t xml:space="preserve">Kho hỏi đáp công khai</t>
  </si>
  <si>
    <t xml:space="preserve">Ticket hay được biên tập thành bài, tìm kiếm được, giảm tải trợ giảng</t>
  </si>
  <si>
    <t xml:space="preserve">C9</t>
  </si>
  <si>
    <t xml:space="preserve">Đánh giá chất lượng trả lời</t>
  </si>
  <si>
    <t xml:space="preserve">Học sinh chấm sao, dùng cho KPI trợ giảng</t>
  </si>
  <si>
    <t xml:space="preserve">D1</t>
  </si>
  <si>
    <t xml:space="preserve">Bộ gõ công thức</t>
  </si>
  <si>
    <t xml:space="preserve">Bảng nút bấm + chế độ LaTeX, dùng chung cho ticket, chat live, bài làm</t>
  </si>
  <si>
    <t xml:space="preserve">D2</t>
  </si>
  <si>
    <t xml:space="preserve">Máy tính khoa học ảo</t>
  </si>
  <si>
    <t xml:space="preserve">Mô phỏng dòng máy được phép mang vào phòng thi, nổi trên màn hình làm bài</t>
  </si>
  <si>
    <t xml:space="preserve">D3</t>
  </si>
  <si>
    <t xml:space="preserve">Giấy nháp số</t>
  </si>
  <si>
    <t xml:space="preserve">Vùng viết tay hoặc gõ lưu theo từng câu, trợ giảng xem được khi hỗ trợ</t>
  </si>
  <si>
    <t xml:space="preserve">D4</t>
  </si>
  <si>
    <t xml:space="preserve">Chụp ảnh để hỏi</t>
  </si>
  <si>
    <t xml:space="preserve">Chụp bài viết tay từ điện thoại, đính thẳng vào ticket</t>
  </si>
  <si>
    <t xml:space="preserve">D5</t>
  </si>
  <si>
    <t xml:space="preserve">Flashcard và ôn lặp ngắt quãng</t>
  </si>
  <si>
    <t xml:space="preserve">Thẻ từ vựng tiếng Anh và thẻ công thức Toán, lịch ôn tự sinh</t>
  </si>
  <si>
    <t xml:space="preserve">D6</t>
  </si>
  <si>
    <t xml:space="preserve">Đồng hồ và huấn luyện nhịp độ</t>
  </si>
  <si>
    <t xml:space="preserve">Cảnh báo khi vượt thời gian chuẩn của câu, luyện đúng nhịp 1,25 phút</t>
  </si>
  <si>
    <t xml:space="preserve">D7</t>
  </si>
  <si>
    <t xml:space="preserve">Xem đồ thị tương tác</t>
  </si>
  <si>
    <t xml:space="preserve">Phóng to, tra giá trị trên biểu đồ của phần tư duy khoa học</t>
  </si>
  <si>
    <t xml:space="preserve">D8</t>
  </si>
  <si>
    <t xml:space="preserve">Chế độ tiếp cận</t>
  </si>
  <si>
    <t xml:space="preserve">Cỡ chữ, tương phản, đọc màn hình cho ngữ liệu dài</t>
  </si>
  <si>
    <t xml:space="preserve">E1</t>
  </si>
  <si>
    <t xml:space="preserve">Lịch lớp và phòng</t>
  </si>
  <si>
    <t xml:space="preserve">Xếp lớp offline, sức chứa phòng, tránh trùng giảng viên</t>
  </si>
  <si>
    <t xml:space="preserve">E2</t>
  </si>
  <si>
    <t xml:space="preserve">Buổi thi thử tập trung</t>
  </si>
  <si>
    <t xml:space="preserve">Đăng ký chỗ, xếp số báo danh, in đề và phiếu tô</t>
  </si>
  <si>
    <t xml:space="preserve">E3</t>
  </si>
  <si>
    <t xml:space="preserve">Nhập kết quả thi giấy</t>
  </si>
  <si>
    <t xml:space="preserve">Quét hoặc nhập phiếu tô, đồng bộ về hồ sơ học viên như một lượt thi</t>
  </si>
  <si>
    <t xml:space="preserve">E4</t>
  </si>
  <si>
    <t xml:space="preserve">Điểm danh tại cơ sở</t>
  </si>
  <si>
    <t xml:space="preserve">Quét mã khi vào lớp hoặc vào phòng thi</t>
  </si>
  <si>
    <t xml:space="preserve">E5</t>
  </si>
  <si>
    <t xml:space="preserve">Hồ sơ học viên hợp nhất</t>
  </si>
  <si>
    <t xml:space="preserve">Một hồ sơ chứa cả hoạt động online và offline</t>
  </si>
  <si>
    <t xml:space="preserve">E6</t>
  </si>
  <si>
    <t xml:space="preserve">Báo cáo học tập</t>
  </si>
  <si>
    <t xml:space="preserve">Tiến độ, xu hướng điểm theo học phần, cảnh báo học sinh học đứt quãng</t>
  </si>
  <si>
    <t xml:space="preserve">E7</t>
  </si>
  <si>
    <t xml:space="preserve">Báo cáo kinh doanh</t>
  </si>
  <si>
    <t xml:space="preserve">Doanh thu theo gói, tỷ lệ chuyển đổi từ học thử, tỷ lệ gia hạn</t>
  </si>
  <si>
    <t xml:space="preserve">E8</t>
  </si>
  <si>
    <t xml:space="preserve">Nhật ký và phân quyền</t>
  </si>
  <si>
    <t xml:space="preserve">Vai, quyền chi tiết, nhật ký thao tác trên ngân hàng đề</t>
  </si>
  <si>
    <t xml:space="preserve">Mo hinh du lieu so bo - nhom thuc the</t>
  </si>
  <si>
    <t xml:space="preserve">Thực thể</t>
  </si>
  <si>
    <t xml:space="preserve">Vai trò</t>
  </si>
  <si>
    <t xml:space="preserve">Người dùng</t>
  </si>
  <si>
    <t xml:space="preserve">Người dùng, Hồ sơ học viên, Vai, Quan hệ phụ huynh – học sinh</t>
  </si>
  <si>
    <t xml:space="preserve">Định danh và phân quyền</t>
  </si>
  <si>
    <t xml:space="preserve">Nội dung học thuật</t>
  </si>
  <si>
    <t xml:space="preserve">Nút cây nội dung, Ngữ liệu, Câu hỏi, Phương án, Lời giải, Thẻ tri thức</t>
  </si>
  <si>
    <t xml:space="preserve">Nguồn của mọi hoạt động luyện tập</t>
  </si>
  <si>
    <t xml:space="preserve">Đề và bài làm</t>
  </si>
  <si>
    <t xml:space="preserve">Blueprint, Đề thi, Cấu phần đề, Lượt thi, Câu trả lời, Kết quả chấm</t>
  </si>
  <si>
    <t xml:space="preserve">Ghi lại toàn bộ hành vi làm bài</t>
  </si>
  <si>
    <t xml:space="preserve">Khoá học</t>
  </si>
  <si>
    <t xml:space="preserve">Khoá học, Chương, Bài giảng, Tài liệu, Tiến độ học, Lộ trình</t>
  </si>
  <si>
    <t xml:space="preserve">Học theo video và theo kế hoạch</t>
  </si>
  <si>
    <t xml:space="preserve">Thương mại</t>
  </si>
  <si>
    <t xml:space="preserve">Gói sản phẩm, Bảng giá, Đơn hàng, Giao dịch thanh toán, Đăng ký gói, Mã khuyến mại</t>
  </si>
  <si>
    <t xml:space="preserve">Bán hàng và cấp quyền</t>
  </si>
  <si>
    <t xml:space="preserve">Live và hỏi đáp</t>
  </si>
  <si>
    <t xml:space="preserve">Buổi livestream, Đăng ký tham dự, Bản ghi, Ticket hỏi đáp, Phản hồi ticket</t>
  </si>
  <si>
    <t xml:space="preserve">Tương tác người với người</t>
  </si>
  <si>
    <t xml:space="preserve">Cơ sở, Phòng, Lớp offline, Buổi thi thử tập trung, Điểm danh</t>
  </si>
  <si>
    <t xml:space="preserve">Hoạt động tại Khu đô thị ĐHQG</t>
  </si>
  <si>
    <t xml:space="preserve">Gia dinh dang dung</t>
  </si>
  <si>
    <t xml:space="preserve">Giả định</t>
  </si>
  <si>
    <t xml:space="preserve">Mức bằng chứng</t>
  </si>
  <si>
    <t xml:space="preserve">GD1</t>
  </si>
  <si>
    <t xml:space="preserve">Cấu trúc đề 2027 giữ nguyên như 2025–2026</t>
  </si>
  <si>
    <t xml:space="preserve">Trung bình — ĐHQG-HCM đã giữ ổn định hai năm liền, nhưng chưa có công bố</t>
  </si>
  <si>
    <t xml:space="preserve">GD2</t>
  </si>
  <si>
    <t xml:space="preserve">Tỉ lệ giữa nhóm sử dụng tiếng Việt và nhóm đọc hiểu xấp xỉ một nửa – một nửa</t>
  </si>
  <si>
    <t xml:space="preserve">Thấp — suy từ đề minh hoạ, chưa thống kê trên bộ đề thật</t>
  </si>
  <si>
    <t xml:space="preserve">GD3</t>
  </si>
  <si>
    <t xml:space="preserve">Học sinh mục tiêu chủ yếu ở TP.HCM và các tỉnh phía Nam</t>
  </si>
  <si>
    <t xml:space="preserve">Cao — trùng địa bàn tổ chức thi</t>
  </si>
  <si>
    <t xml:space="preserve">GD4</t>
  </si>
  <si>
    <t xml:space="preserve">Phụ huynh là người trả tiền, học sinh là người dùng</t>
  </si>
  <si>
    <t xml:space="preserve">Cao — đúng thông lệ thị trường luyện thi</t>
  </si>
  <si>
    <t xml:space="preserve">GD5</t>
  </si>
  <si>
    <t xml:space="preserve">Trung tâm được phép thuê mặt bằng và phòng học trong Khu đô thị ĐHQG</t>
  </si>
  <si>
    <t xml:space="preserve">Chưa kiểm chứng — cần làm việc với đơn vị quản lý khu</t>
  </si>
  <si>
    <t xml:space="preserve">Rui ro nghiep vu</t>
  </si>
  <si>
    <t xml:space="preserve">Rủi ro</t>
  </si>
  <si>
    <t xml:space="preserve">Ảnh hưởng</t>
  </si>
  <si>
    <t xml:space="preserve">Hướng giảm nhẹ</t>
  </si>
  <si>
    <t xml:space="preserve">RR1</t>
  </si>
  <si>
    <t xml:space="preserve">ĐHQG-HCM đổi cấu trúc đề giữa chừng</t>
  </si>
  <si>
    <t xml:space="preserve">Toàn bộ nội dung và báo cáo lệch chuẩn</t>
  </si>
  <si>
    <t xml:space="preserve">Blueprint và cây nội dung là dữ liệu có phiên bản</t>
  </si>
  <si>
    <t xml:space="preserve">RR2</t>
  </si>
  <si>
    <t xml:space="preserve">Thiếu ngữ liệu phần Tư duy khoa học</t>
  </si>
  <si>
    <t xml:space="preserve">Sản phẩm mất điểm khác biệt chính</t>
  </si>
  <si>
    <t xml:space="preserve">Đặt chỉ tiêu sản xuất ngữ liệu ngay từ đầu, thuê cộng tác viên chuyên ngành</t>
  </si>
  <si>
    <t xml:space="preserve">RR3</t>
  </si>
  <si>
    <t xml:space="preserve">Vi phạm bản quyền ngữ liệu văn học, số liệu, hay mô phỏng máy tính</t>
  </si>
  <si>
    <t xml:space="preserve">Pháp lý và uy tín</t>
  </si>
  <si>
    <t xml:space="preserve">Trường bản quyền bắt buộc; chặn xuất bản khi chưa rõ nguồn</t>
  </si>
  <si>
    <t xml:space="preserve">RR4</t>
  </si>
  <si>
    <t xml:space="preserve">Lộ đề thi thử</t>
  </si>
  <si>
    <t xml:space="preserve">Mất giá trị bộ đề và niềm tin</t>
  </si>
  <si>
    <t xml:space="preserve">Trộn chùm, đóng dấu mờ theo người dùng, giới hạn tải về</t>
  </si>
  <si>
    <t xml:space="preserve">RR5</t>
  </si>
  <si>
    <t xml:space="preserve">Tải đột biến trước ngày thi</t>
  </si>
  <si>
    <t xml:space="preserve">Sập dịch vụ đúng lúc quan trọng nhất</t>
  </si>
  <si>
    <t xml:space="preserve">Ước lượng tải theo mùa vụ; tách dịch vụ làm bài khỏi dịch vụ live</t>
  </si>
  <si>
    <t xml:space="preserve">RR6</t>
  </si>
  <si>
    <t xml:space="preserve">Trợ giảng quá tải câu hỏi</t>
  </si>
  <si>
    <t xml:space="preserve">Trễ SLA, học sinh bỏ đi</t>
  </si>
  <si>
    <t xml:space="preserve">Kho hỏi đáp công khai, trả lời mẫu, định mức ticket theo gói</t>
  </si>
  <si>
    <t xml:space="preserve">Nguon tham khao</t>
  </si>
  <si>
    <t xml:space="preserve">Nguồn</t>
  </si>
  <si>
    <t xml:space="preserve">Nội dung lấy</t>
  </si>
  <si>
    <t xml:space="preserve">Trung tâm Khảo thí và Đánh giá Chất lượng Đào tạo ĐHQG-HCM — https://cetqa.vnuhcm.edu.vn/danh-gia-nang-luc</t>
  </si>
  <si>
    <t xml:space="preserve">Cấu trúc 120 câu, phân bổ 3 phần, thang 1.200 điểm, lịch thi và địa điểm 2026</t>
  </si>
  <si>
    <t xml:space="preserve">Thanh Niên — https://thanhnien.vn/cau-truc-bai-thi-danh-gia-nang-luc-dh-quoc-gia-tphcm-nam-2026-18526012214150519.htm</t>
  </si>
  <si>
    <t xml:space="preserve">Số đơn vị và tỉnh thành từng đợt, định hướng đánh giá năng lực</t>
  </si>
  <si>
    <t xml:space="preserve">Tuyển sinh 247 — https://thi.tuyensinh247.com/cau-truc-de-thi-danh-gia-nang-luc-hcm-2026-c24a88320.html</t>
  </si>
  <si>
    <t xml:space="preserve">Số câu từng tiểu mục phần 3, mốc đăng ký, số trường sử dụng kết quả</t>
  </si>
  <si>
    <t xml:space="preserve">ZIM — https://zim.vn/de-minh-hoa-vact-2026</t>
  </si>
  <si>
    <t xml:space="preserve">Dạng câu hỏi từng phần, chủ đề Toán, tính kế thừa cấu trúc từ 2025</t>
  </si>
  <si>
    <t xml:space="preserve">Tiền Phong — https://hoahoctro.tienphong.vn/dai-hoc-quoc-gia-tphcm-cong-bo-cau-truc-bai-thi-danh-gia-nang-luc-nam-2026-post1815551.tpo</t>
  </si>
  <si>
    <t xml:space="preserve">Bám Chương trình GDPT 2018, xu hướng tăng câu hỏi tư duy</t>
  </si>
  <si>
    <t xml:space="preserve">HOCMAI — https://huongnghiep.hocmai.vn/tron-bo-de-thi-danh-gia-nang-luc-tphcm-kem-dap-an</t>
  </si>
  <si>
    <t xml:space="preserve">Phạm vi số thứ tự câu từng phần, thay đổi so với cấu trúc trước 2025</t>
  </si>
  <si>
    <t xml:space="preserve">VietJack — https://vietjack.com/dgnl-dgtd/tong-quan-chung-ve-ky-thi-danh-gia-nang-luc-v-act-dgnl.jsp</t>
  </si>
  <si>
    <t xml:space="preserve">Đối tượng dự thi, lệ phí 300.000 đồng mỗi thí sinh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</si>
</sst>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5" t="s">
        <v>14</v>
      </c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</row>
    <row r="4" customFormat="false" ht="15" hidden="false" customHeight="false" outlineLevel="0" collapsed="false">
      <c r="A4" s="7" t="s">
        <v>18</v>
      </c>
      <c r="B4" s="7" t="s">
        <v>19</v>
      </c>
      <c r="C4" s="7" t="n">
        <f aca="false">COUNTIF(11_ChucNang!$E$4:$E$52,$A4)</f>
        <v>29</v>
      </c>
    </row>
    <row r="5" customFormat="false" ht="15" hidden="false" customHeight="false" outlineLevel="0" collapsed="false">
      <c r="A5" s="7" t="s">
        <v>20</v>
      </c>
      <c r="B5" s="7" t="s">
        <v>21</v>
      </c>
      <c r="C5" s="7" t="n">
        <f aca="false">COUNTIF(11_ChucNang!$E$4:$E$52,$A5)</f>
        <v>14</v>
      </c>
    </row>
    <row r="6" customFormat="false" ht="15" hidden="false" customHeight="false" outlineLevel="0" collapsed="false">
      <c r="A6" s="7" t="s">
        <v>22</v>
      </c>
      <c r="B6" s="7" t="s">
        <v>23</v>
      </c>
      <c r="C6" s="7" t="n">
        <f aca="false">COUNTIF(11_ChucNang!$E$4:$E$52,$A6)</f>
        <v>6</v>
      </c>
    </row>
    <row r="7" customFormat="false" ht="15" hidden="false" customHeight="false" outlineLevel="0" collapsed="false">
      <c r="A7" s="7" t="s">
        <v>24</v>
      </c>
      <c r="B7" s="7" t="s">
        <v>25</v>
      </c>
      <c r="C7" s="7" t="n">
        <f aca="false">COUNTIF(11_ChucNang!$E$4:$E$52,$A7)</f>
        <v>0</v>
      </c>
    </row>
    <row r="8" customFormat="false" ht="15" hidden="false" customHeight="false" outlineLevel="0" collapsed="false">
      <c r="B8" s="8" t="s">
        <v>26</v>
      </c>
      <c r="C8" s="8" t="n">
        <f aca="false">SUM(C4:C7)</f>
        <v>49</v>
      </c>
    </row>
    <row r="10" customFormat="false" ht="15" hidden="false" customHeight="false" outlineLevel="0" collapsed="false">
      <c r="A10" s="5" t="s">
        <v>27</v>
      </c>
    </row>
    <row r="12" customFormat="false" ht="15" hidden="false" customHeight="false" outlineLevel="0" collapsed="false">
      <c r="A12" s="6" t="s">
        <v>28</v>
      </c>
      <c r="B12" s="6" t="s">
        <v>17</v>
      </c>
      <c r="C12" s="6" t="s">
        <v>29</v>
      </c>
    </row>
    <row r="13" customFormat="false" ht="15" hidden="false" customHeight="false" outlineLevel="0" collapsed="false">
      <c r="A13" s="9" t="s">
        <v>30</v>
      </c>
      <c r="B13" s="9" t="n">
        <f aca="false">COUNTIF(11_ChucNang!$A$4:$A$52,$A13)</f>
        <v>14</v>
      </c>
      <c r="C13" s="9" t="n">
        <f aca="false">COUNTIFS(11_ChucNang!$A$4:$A$52,$A13,11_ChucNang!$E$4:$E$52,"M")</f>
        <v>10</v>
      </c>
    </row>
    <row r="14" customFormat="false" ht="15" hidden="false" customHeight="false" outlineLevel="0" collapsed="false">
      <c r="A14" s="9" t="s">
        <v>31</v>
      </c>
      <c r="B14" s="9" t="n">
        <f aca="false">COUNTIF(11_ChucNang!$A$4:$A$52,$A14)</f>
        <v>10</v>
      </c>
      <c r="C14" s="9" t="n">
        <f aca="false">COUNTIFS(11_ChucNang!$A$4:$A$52,$A14,11_ChucNang!$E$4:$E$52,"M")</f>
        <v>5</v>
      </c>
    </row>
    <row r="15" customFormat="false" ht="15" hidden="false" customHeight="false" outlineLevel="0" collapsed="false">
      <c r="A15" s="9" t="s">
        <v>32</v>
      </c>
      <c r="B15" s="9" t="n">
        <f aca="false">COUNTIF(11_ChucNang!$A$4:$A$52,$A15)</f>
        <v>9</v>
      </c>
      <c r="C15" s="9" t="n">
        <f aca="false">COUNTIFS(11_ChucNang!$A$4:$A$52,$A15,11_ChucNang!$E$4:$E$52,"M")</f>
        <v>6</v>
      </c>
    </row>
    <row r="16" customFormat="false" ht="15" hidden="false" customHeight="false" outlineLevel="0" collapsed="false">
      <c r="A16" s="9" t="s">
        <v>33</v>
      </c>
      <c r="B16" s="9" t="n">
        <f aca="false">COUNTIF(11_ChucNang!$A$4:$A$52,$A16)</f>
        <v>8</v>
      </c>
      <c r="C16" s="9" t="n">
        <f aca="false">COUNTIFS(11_ChucNang!$A$4:$A$52,$A16,11_ChucNang!$E$4:$E$52,"M")</f>
        <v>2</v>
      </c>
    </row>
    <row r="17" customFormat="false" ht="15" hidden="false" customHeight="false" outlineLevel="0" collapsed="false">
      <c r="A17" s="9" t="s">
        <v>34</v>
      </c>
      <c r="B17" s="9" t="n">
        <f aca="false">COUNTIF(11_ChucNang!$A$4:$A$52,$A17)</f>
        <v>8</v>
      </c>
      <c r="C17" s="9" t="n">
        <f aca="false">COUNTIFS(11_ChucNang!$A$4:$A$52,$A17,11_ChucNang!$E$4:$E$52,"M")</f>
        <v>6</v>
      </c>
    </row>
    <row r="19" customFormat="false" ht="15" hidden="false" customHeight="false" outlineLevel="0" collapsed="false">
      <c r="A1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1"/>
    <col collapsed="false" customWidth="true" hidden="false" outlineLevel="0" max="4" min="3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5" t="s">
        <v>36</v>
      </c>
    </row>
    <row r="3" customFormat="false" ht="15" hidden="false" customHeight="false" outlineLevel="0" collapsed="false">
      <c r="A3" s="10" t="s">
        <v>37</v>
      </c>
      <c r="B3" s="10" t="s">
        <v>38</v>
      </c>
      <c r="C3" s="10" t="s">
        <v>39</v>
      </c>
      <c r="D3" s="10" t="s">
        <v>40</v>
      </c>
      <c r="E3" s="10" t="s">
        <v>41</v>
      </c>
    </row>
    <row r="4" customFormat="false" ht="15" hidden="false" customHeight="false" outlineLevel="0" collapsed="false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customFormat="false" ht="15" hidden="false" customHeight="false" outlineLevel="0" collapsed="false">
      <c r="A5" s="9" t="s">
        <v>42</v>
      </c>
      <c r="B5" s="9" t="s">
        <v>47</v>
      </c>
      <c r="C5" s="9" t="s">
        <v>44</v>
      </c>
      <c r="D5" s="9" t="s">
        <v>45</v>
      </c>
      <c r="E5" s="9" t="s">
        <v>46</v>
      </c>
    </row>
    <row r="6" customFormat="false" ht="15" hidden="false" customHeight="false" outlineLevel="0" collapsed="false">
      <c r="A6" s="9" t="s">
        <v>48</v>
      </c>
      <c r="B6" s="9" t="s">
        <v>49</v>
      </c>
      <c r="C6" s="9" t="s">
        <v>44</v>
      </c>
      <c r="D6" s="9" t="s">
        <v>45</v>
      </c>
      <c r="E6" s="9" t="s">
        <v>46</v>
      </c>
    </row>
    <row r="7" customFormat="false" ht="23.85" hidden="false" customHeight="false" outlineLevel="0" collapsed="false">
      <c r="A7" s="9" t="s">
        <v>50</v>
      </c>
      <c r="B7" s="9" t="s">
        <v>51</v>
      </c>
      <c r="C7" s="9" t="s">
        <v>52</v>
      </c>
      <c r="D7" s="9" t="s">
        <v>53</v>
      </c>
      <c r="E7" s="9" t="s">
        <v>54</v>
      </c>
    </row>
    <row r="8" customFormat="false" ht="15" hidden="false" customHeight="false" outlineLevel="0" collapsed="false">
      <c r="A8" s="9" t="s">
        <v>50</v>
      </c>
      <c r="B8" s="9" t="s">
        <v>55</v>
      </c>
      <c r="C8" s="9" t="s">
        <v>56</v>
      </c>
      <c r="D8" s="9" t="s">
        <v>57</v>
      </c>
      <c r="E8" s="9" t="s">
        <v>58</v>
      </c>
    </row>
    <row r="9" customFormat="false" ht="15" hidden="false" customHeight="false" outlineLevel="0" collapsed="false">
      <c r="A9" s="9" t="s">
        <v>59</v>
      </c>
      <c r="B9" s="9"/>
      <c r="C9" s="9" t="s">
        <v>60</v>
      </c>
      <c r="D9" s="9" t="s">
        <v>61</v>
      </c>
      <c r="E9" s="9" t="s">
        <v>62</v>
      </c>
    </row>
  </sheetData>
  <autoFilter ref="A3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2"/>
    <col collapsed="false" customWidth="true" hidden="false" outlineLevel="0" max="3" min="3" style="0" width="57"/>
  </cols>
  <sheetData>
    <row r="1" customFormat="false" ht="15" hidden="false" customHeight="false" outlineLevel="0" collapsed="false">
      <c r="A1" s="5" t="s">
        <v>63</v>
      </c>
    </row>
    <row r="3" customFormat="false" ht="15" hidden="false" customHeight="false" outlineLevel="0" collapsed="false">
      <c r="A3" s="10" t="s">
        <v>64</v>
      </c>
      <c r="B3" s="10" t="s">
        <v>65</v>
      </c>
      <c r="C3" s="10" t="s">
        <v>66</v>
      </c>
    </row>
    <row r="4" customFormat="false" ht="15" hidden="false" customHeight="false" outlineLevel="0" collapsed="false">
      <c r="A4" s="9" t="s">
        <v>67</v>
      </c>
      <c r="B4" s="9" t="s">
        <v>68</v>
      </c>
      <c r="C4" s="9" t="s">
        <v>69</v>
      </c>
    </row>
    <row r="5" customFormat="false" ht="23.85" hidden="false" customHeight="false" outlineLevel="0" collapsed="false">
      <c r="A5" s="9" t="s">
        <v>70</v>
      </c>
      <c r="B5" s="9" t="s">
        <v>71</v>
      </c>
      <c r="C5" s="9" t="s">
        <v>72</v>
      </c>
    </row>
    <row r="6" customFormat="false" ht="15" hidden="false" customHeight="false" outlineLevel="0" collapsed="false">
      <c r="A6" s="9" t="s">
        <v>73</v>
      </c>
      <c r="B6" s="9" t="s">
        <v>74</v>
      </c>
      <c r="C6" s="9" t="s">
        <v>75</v>
      </c>
    </row>
    <row r="7" customFormat="false" ht="15" hidden="false" customHeight="false" outlineLevel="0" collapsed="false">
      <c r="A7" s="9" t="s">
        <v>76</v>
      </c>
      <c r="B7" s="9" t="s">
        <v>77</v>
      </c>
      <c r="C7" s="9" t="s">
        <v>78</v>
      </c>
    </row>
    <row r="8" customFormat="false" ht="15" hidden="false" customHeight="false" outlineLevel="0" collapsed="false">
      <c r="A8" s="9" t="s">
        <v>79</v>
      </c>
      <c r="B8" s="9" t="s">
        <v>80</v>
      </c>
      <c r="C8" s="9" t="s">
        <v>81</v>
      </c>
    </row>
    <row r="9" customFormat="false" ht="15" hidden="false" customHeight="false" outlineLevel="0" collapsed="false">
      <c r="A9" s="9" t="s">
        <v>82</v>
      </c>
      <c r="B9" s="9" t="s">
        <v>83</v>
      </c>
      <c r="C9" s="9" t="s">
        <v>84</v>
      </c>
    </row>
    <row r="10" customFormat="false" ht="15" hidden="false" customHeight="false" outlineLevel="0" collapsed="false">
      <c r="A10" s="9" t="s">
        <v>85</v>
      </c>
      <c r="B10" s="9" t="s">
        <v>86</v>
      </c>
      <c r="C10" s="9" t="s">
        <v>87</v>
      </c>
    </row>
    <row r="11" customFormat="false" ht="15" hidden="false" customHeight="false" outlineLevel="0" collapsed="false">
      <c r="A11" s="9" t="s">
        <v>88</v>
      </c>
      <c r="B11" s="9" t="s">
        <v>89</v>
      </c>
      <c r="C11" s="9" t="s">
        <v>90</v>
      </c>
    </row>
  </sheetData>
  <autoFilter ref="A3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5" t="s">
        <v>91</v>
      </c>
    </row>
    <row r="3" customFormat="false" ht="15" hidden="false" customHeight="false" outlineLevel="0" collapsed="false">
      <c r="A3" s="10" t="s">
        <v>64</v>
      </c>
      <c r="B3" s="10" t="s">
        <v>65</v>
      </c>
      <c r="C3" s="10" t="s">
        <v>92</v>
      </c>
    </row>
    <row r="4" customFormat="false" ht="23.85" hidden="false" customHeight="false" outlineLevel="0" collapsed="false">
      <c r="A4" s="9" t="s">
        <v>93</v>
      </c>
      <c r="B4" s="9" t="s">
        <v>94</v>
      </c>
      <c r="C4" s="9" t="s">
        <v>95</v>
      </c>
    </row>
    <row r="5" customFormat="false" ht="15" hidden="false" customHeight="false" outlineLevel="0" collapsed="false">
      <c r="A5" s="9" t="s">
        <v>96</v>
      </c>
      <c r="B5" s="9" t="s">
        <v>97</v>
      </c>
      <c r="C5" s="9" t="s">
        <v>98</v>
      </c>
    </row>
    <row r="6" customFormat="false" ht="15" hidden="false" customHeight="false" outlineLevel="0" collapsed="false">
      <c r="A6" s="9" t="s">
        <v>99</v>
      </c>
      <c r="B6" s="9" t="s">
        <v>100</v>
      </c>
      <c r="C6" s="9" t="s">
        <v>101</v>
      </c>
    </row>
    <row r="7" customFormat="false" ht="15" hidden="false" customHeight="false" outlineLevel="0" collapsed="false">
      <c r="A7" s="9" t="s">
        <v>102</v>
      </c>
      <c r="B7" s="9" t="s">
        <v>103</v>
      </c>
      <c r="C7" s="9" t="s">
        <v>104</v>
      </c>
    </row>
    <row r="8" customFormat="false" ht="15" hidden="false" customHeight="false" outlineLevel="0" collapsed="false">
      <c r="A8" s="9" t="s">
        <v>105</v>
      </c>
      <c r="B8" s="9" t="s">
        <v>106</v>
      </c>
      <c r="C8" s="9" t="s">
        <v>107</v>
      </c>
    </row>
    <row r="9" customFormat="false" ht="15" hidden="false" customHeight="false" outlineLevel="0" collapsed="false">
      <c r="A9" s="9" t="s">
        <v>108</v>
      </c>
      <c r="B9" s="9" t="s">
        <v>109</v>
      </c>
      <c r="C9" s="9" t="s">
        <v>110</v>
      </c>
    </row>
  </sheetData>
  <autoFilter ref="A3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62"/>
  </cols>
  <sheetData>
    <row r="1" customFormat="false" ht="15" hidden="false" customHeight="false" outlineLevel="0" collapsed="false">
      <c r="A1" s="5" t="s">
        <v>111</v>
      </c>
    </row>
    <row r="3" customFormat="false" ht="15" hidden="false" customHeight="false" outlineLevel="0" collapsed="false">
      <c r="A3" s="10" t="s">
        <v>112</v>
      </c>
      <c r="B3" s="10" t="s">
        <v>113</v>
      </c>
    </row>
    <row r="4" customFormat="false" ht="15" hidden="false" customHeight="false" outlineLevel="0" collapsed="false">
      <c r="A4" s="9" t="s">
        <v>114</v>
      </c>
      <c r="B4" s="9" t="s">
        <v>115</v>
      </c>
    </row>
    <row r="5" customFormat="false" ht="15" hidden="false" customHeight="false" outlineLevel="0" collapsed="false">
      <c r="A5" s="9" t="s">
        <v>116</v>
      </c>
      <c r="B5" s="9" t="s">
        <v>117</v>
      </c>
    </row>
    <row r="6" customFormat="false" ht="15" hidden="false" customHeight="false" outlineLevel="0" collapsed="false">
      <c r="A6" s="9" t="s">
        <v>118</v>
      </c>
      <c r="B6" s="9" t="s">
        <v>119</v>
      </c>
    </row>
    <row r="7" customFormat="false" ht="15" hidden="false" customHeight="false" outlineLevel="0" collapsed="false">
      <c r="A7" s="9" t="s">
        <v>120</v>
      </c>
      <c r="B7" s="9" t="s">
        <v>121</v>
      </c>
    </row>
    <row r="8" customFormat="false" ht="15" hidden="false" customHeight="false" outlineLevel="0" collapsed="false">
      <c r="A8" s="9" t="s">
        <v>122</v>
      </c>
      <c r="B8" s="9" t="s">
        <v>123</v>
      </c>
    </row>
    <row r="9" customFormat="false" ht="15" hidden="false" customHeight="false" outlineLevel="0" collapsed="false">
      <c r="A9" s="9" t="s">
        <v>124</v>
      </c>
      <c r="B9" s="9" t="s">
        <v>125</v>
      </c>
    </row>
    <row r="10" customFormat="false" ht="23.85" hidden="false" customHeight="false" outlineLevel="0" collapsed="false">
      <c r="A10" s="9" t="s">
        <v>126</v>
      </c>
      <c r="B10" s="9" t="s">
        <v>127</v>
      </c>
    </row>
    <row r="11" customFormat="false" ht="15" hidden="false" customHeight="false" outlineLevel="0" collapsed="false">
      <c r="A11" s="9" t="s">
        <v>128</v>
      </c>
      <c r="B11" s="9" t="s">
        <v>129</v>
      </c>
    </row>
    <row r="12" customFormat="false" ht="15" hidden="false" customHeight="false" outlineLevel="0" collapsed="false">
      <c r="A12" s="9" t="s">
        <v>130</v>
      </c>
      <c r="B12" s="9" t="s">
        <v>131</v>
      </c>
    </row>
    <row r="13" customFormat="false" ht="15" hidden="false" customHeight="false" outlineLevel="0" collapsed="false">
      <c r="A13" s="9" t="s">
        <v>132</v>
      </c>
      <c r="B13" s="9" t="s">
        <v>133</v>
      </c>
    </row>
  </sheetData>
  <autoFilter ref="A3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4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5" t="s">
        <v>134</v>
      </c>
    </row>
    <row r="3" customFormat="false" ht="15" hidden="false" customHeight="false" outlineLevel="0" collapsed="false">
      <c r="A3" s="10" t="s">
        <v>135</v>
      </c>
      <c r="B3" s="10" t="s">
        <v>136</v>
      </c>
      <c r="C3" s="10" t="s">
        <v>92</v>
      </c>
    </row>
    <row r="4" customFormat="false" ht="15" hidden="false" customHeight="false" outlineLevel="0" collapsed="false">
      <c r="A4" s="9" t="s">
        <v>137</v>
      </c>
      <c r="B4" s="9" t="s">
        <v>138</v>
      </c>
      <c r="C4" s="9" t="s">
        <v>139</v>
      </c>
    </row>
    <row r="5" customFormat="false" ht="15" hidden="false" customHeight="false" outlineLevel="0" collapsed="false">
      <c r="A5" s="9" t="s">
        <v>140</v>
      </c>
      <c r="B5" s="9" t="s">
        <v>141</v>
      </c>
      <c r="C5" s="9" t="s">
        <v>142</v>
      </c>
    </row>
    <row r="6" customFormat="false" ht="15" hidden="false" customHeight="false" outlineLevel="0" collapsed="false">
      <c r="A6" s="9" t="s">
        <v>143</v>
      </c>
      <c r="B6" s="9" t="s">
        <v>144</v>
      </c>
      <c r="C6" s="9" t="s">
        <v>145</v>
      </c>
    </row>
    <row r="7" customFormat="false" ht="15" hidden="false" customHeight="false" outlineLevel="0" collapsed="false">
      <c r="A7" s="9" t="s">
        <v>146</v>
      </c>
      <c r="B7" s="9" t="s">
        <v>147</v>
      </c>
      <c r="C7" s="9" t="s">
        <v>148</v>
      </c>
    </row>
    <row r="8" customFormat="false" ht="15" hidden="false" customHeight="false" outlineLevel="0" collapsed="false">
      <c r="A8" s="9" t="s">
        <v>149</v>
      </c>
      <c r="B8" s="9" t="s">
        <v>150</v>
      </c>
      <c r="C8" s="9" t="s">
        <v>151</v>
      </c>
    </row>
  </sheetData>
  <autoFilter ref="A3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54"/>
    <col collapsed="false" customWidth="true" hidden="false" outlineLevel="0" max="3" min="3" style="0" width="51"/>
  </cols>
  <sheetData>
    <row r="1" customFormat="false" ht="15" hidden="false" customHeight="false" outlineLevel="0" collapsed="false">
      <c r="A1" s="5" t="s">
        <v>152</v>
      </c>
    </row>
    <row r="3" customFormat="false" ht="15" hidden="false" customHeight="false" outlineLevel="0" collapsed="false">
      <c r="A3" s="10" t="s">
        <v>153</v>
      </c>
      <c r="B3" s="10" t="s">
        <v>154</v>
      </c>
      <c r="C3" s="10" t="s">
        <v>155</v>
      </c>
    </row>
    <row r="4" customFormat="false" ht="15" hidden="false" customHeight="false" outlineLevel="0" collapsed="false">
      <c r="A4" s="9" t="s">
        <v>156</v>
      </c>
      <c r="B4" s="9" t="s">
        <v>157</v>
      </c>
      <c r="C4" s="9" t="s">
        <v>158</v>
      </c>
    </row>
    <row r="5" customFormat="false" ht="15" hidden="false" customHeight="false" outlineLevel="0" collapsed="false">
      <c r="A5" s="9" t="s">
        <v>159</v>
      </c>
      <c r="B5" s="9" t="s">
        <v>160</v>
      </c>
      <c r="C5" s="9" t="s">
        <v>161</v>
      </c>
    </row>
    <row r="6" customFormat="false" ht="15" hidden="false" customHeight="false" outlineLevel="0" collapsed="false">
      <c r="A6" s="9" t="s">
        <v>162</v>
      </c>
      <c r="B6" s="9" t="s">
        <v>163</v>
      </c>
      <c r="C6" s="9" t="s">
        <v>164</v>
      </c>
    </row>
  </sheetData>
  <autoFilter ref="A3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61"/>
  </cols>
  <sheetData>
    <row r="1" customFormat="false" ht="15" hidden="false" customHeight="false" outlineLevel="0" collapsed="false">
      <c r="A1" s="5" t="s">
        <v>165</v>
      </c>
    </row>
    <row r="3" customFormat="false" ht="15" hidden="false" customHeight="false" outlineLevel="0" collapsed="false">
      <c r="A3" s="10" t="s">
        <v>166</v>
      </c>
      <c r="B3" s="10" t="s">
        <v>167</v>
      </c>
      <c r="C3" s="10" t="s">
        <v>168</v>
      </c>
      <c r="D3" s="10" t="s">
        <v>169</v>
      </c>
    </row>
    <row r="4" customFormat="false" ht="15" hidden="false" customHeight="false" outlineLevel="0" collapsed="false">
      <c r="A4" s="9" t="s">
        <v>170</v>
      </c>
      <c r="B4" s="9" t="s">
        <v>171</v>
      </c>
      <c r="C4" s="9" t="s">
        <v>172</v>
      </c>
      <c r="D4" s="9" t="s">
        <v>173</v>
      </c>
    </row>
    <row r="5" customFormat="false" ht="15" hidden="false" customHeight="false" outlineLevel="0" collapsed="false">
      <c r="A5" s="9" t="s">
        <v>174</v>
      </c>
      <c r="B5" s="9" t="s">
        <v>175</v>
      </c>
      <c r="C5" s="9" t="s">
        <v>176</v>
      </c>
      <c r="D5" s="9" t="s">
        <v>177</v>
      </c>
    </row>
    <row r="6" customFormat="false" ht="15" hidden="false" customHeight="false" outlineLevel="0" collapsed="false">
      <c r="A6" s="9" t="s">
        <v>178</v>
      </c>
      <c r="B6" s="9" t="s">
        <v>179</v>
      </c>
      <c r="C6" s="9" t="s">
        <v>180</v>
      </c>
      <c r="D6" s="9" t="s">
        <v>181</v>
      </c>
    </row>
    <row r="7" customFormat="false" ht="23.85" hidden="false" customHeight="false" outlineLevel="0" collapsed="false">
      <c r="A7" s="9" t="s">
        <v>182</v>
      </c>
      <c r="B7" s="9" t="s">
        <v>183</v>
      </c>
      <c r="C7" s="9" t="s">
        <v>184</v>
      </c>
      <c r="D7" s="9" t="s">
        <v>185</v>
      </c>
    </row>
    <row r="8" customFormat="false" ht="15" hidden="false" customHeight="false" outlineLevel="0" collapsed="false">
      <c r="A8" s="9" t="s">
        <v>186</v>
      </c>
      <c r="B8" s="9" t="s">
        <v>187</v>
      </c>
      <c r="C8" s="9" t="s">
        <v>188</v>
      </c>
      <c r="D8" s="9" t="s">
        <v>189</v>
      </c>
    </row>
  </sheetData>
  <autoFilter ref="A3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2"/>
  </cols>
  <sheetData>
    <row r="1" customFormat="false" ht="15" hidden="false" customHeight="false" outlineLevel="0" collapsed="false">
      <c r="A1" s="5" t="s">
        <v>190</v>
      </c>
    </row>
    <row r="3" customFormat="false" ht="15" hidden="false" customHeight="false" outlineLevel="0" collapsed="false">
      <c r="A3" s="10" t="s">
        <v>191</v>
      </c>
      <c r="B3" s="10" t="s">
        <v>192</v>
      </c>
      <c r="C3" s="10" t="s">
        <v>193</v>
      </c>
    </row>
    <row r="4" customFormat="false" ht="15" hidden="false" customHeight="false" outlineLevel="0" collapsed="false">
      <c r="A4" s="9" t="s">
        <v>170</v>
      </c>
      <c r="B4" s="9" t="s">
        <v>194</v>
      </c>
      <c r="C4" s="9" t="s">
        <v>195</v>
      </c>
    </row>
    <row r="5" customFormat="false" ht="23.85" hidden="false" customHeight="false" outlineLevel="0" collapsed="false">
      <c r="A5" s="9" t="s">
        <v>174</v>
      </c>
      <c r="B5" s="9" t="s">
        <v>196</v>
      </c>
      <c r="C5" s="9" t="s">
        <v>197</v>
      </c>
    </row>
    <row r="6" customFormat="false" ht="23.85" hidden="false" customHeight="false" outlineLevel="0" collapsed="false">
      <c r="A6" s="9" t="s">
        <v>178</v>
      </c>
      <c r="B6" s="9" t="s">
        <v>198</v>
      </c>
      <c r="C6" s="9" t="s">
        <v>199</v>
      </c>
    </row>
    <row r="7" customFormat="false" ht="15" hidden="false" customHeight="false" outlineLevel="0" collapsed="false">
      <c r="A7" s="9" t="s">
        <v>182</v>
      </c>
      <c r="B7" s="9" t="s">
        <v>200</v>
      </c>
      <c r="C7" s="9" t="s">
        <v>201</v>
      </c>
    </row>
    <row r="8" customFormat="false" ht="15" hidden="false" customHeight="false" outlineLevel="0" collapsed="false">
      <c r="A8" s="9" t="s">
        <v>186</v>
      </c>
      <c r="B8" s="9" t="s">
        <v>202</v>
      </c>
      <c r="C8" s="9" t="s">
        <v>203</v>
      </c>
    </row>
    <row r="9" customFormat="false" ht="15" hidden="false" customHeight="false" outlineLevel="0" collapsed="false">
      <c r="A9" s="9" t="s">
        <v>204</v>
      </c>
      <c r="B9" s="9" t="s">
        <v>205</v>
      </c>
      <c r="C9" s="9" t="s">
        <v>206</v>
      </c>
    </row>
    <row r="10" customFormat="false" ht="15" hidden="false" customHeight="false" outlineLevel="0" collapsed="false">
      <c r="A10" s="9" t="s">
        <v>207</v>
      </c>
      <c r="B10" s="9" t="s">
        <v>208</v>
      </c>
      <c r="C10" s="9" t="s">
        <v>209</v>
      </c>
    </row>
    <row r="11" customFormat="false" ht="15" hidden="false" customHeight="false" outlineLevel="0" collapsed="false">
      <c r="A11" s="9" t="s">
        <v>210</v>
      </c>
      <c r="B11" s="9" t="s">
        <v>211</v>
      </c>
      <c r="C11" s="9" t="s">
        <v>212</v>
      </c>
    </row>
    <row r="12" customFormat="false" ht="23.85" hidden="false" customHeight="false" outlineLevel="0" collapsed="false">
      <c r="A12" s="9" t="s">
        <v>213</v>
      </c>
      <c r="B12" s="9" t="s">
        <v>214</v>
      </c>
      <c r="C12" s="9" t="s">
        <v>215</v>
      </c>
    </row>
    <row r="13" customFormat="false" ht="23.85" hidden="false" customHeight="false" outlineLevel="0" collapsed="false">
      <c r="A13" s="9" t="s">
        <v>216</v>
      </c>
      <c r="B13" s="9" t="s">
        <v>217</v>
      </c>
      <c r="C13" s="9" t="s">
        <v>218</v>
      </c>
    </row>
    <row r="14" customFormat="false" ht="23.85" hidden="false" customHeight="false" outlineLevel="0" collapsed="false">
      <c r="A14" s="9" t="s">
        <v>219</v>
      </c>
      <c r="B14" s="9" t="s">
        <v>220</v>
      </c>
      <c r="C14" s="9" t="s">
        <v>221</v>
      </c>
    </row>
    <row r="15" customFormat="false" ht="15" hidden="false" customHeight="false" outlineLevel="0" collapsed="false">
      <c r="A15" s="9" t="s">
        <v>52</v>
      </c>
      <c r="B15" s="9" t="s">
        <v>222</v>
      </c>
      <c r="C15" s="9" t="s">
        <v>223</v>
      </c>
    </row>
  </sheetData>
  <autoFilter ref="A3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5" t="s">
        <v>224</v>
      </c>
    </row>
    <row r="3" customFormat="false" ht="15" hidden="false" customHeight="false" outlineLevel="0" collapsed="false">
      <c r="A3" s="10" t="s">
        <v>225</v>
      </c>
      <c r="B3" s="10" t="s">
        <v>226</v>
      </c>
      <c r="C3" s="10" t="s">
        <v>227</v>
      </c>
    </row>
    <row r="4" customFormat="false" ht="15" hidden="false" customHeight="false" outlineLevel="0" collapsed="false">
      <c r="A4" s="9" t="s">
        <v>228</v>
      </c>
      <c r="B4" s="9" t="s">
        <v>229</v>
      </c>
      <c r="C4" s="9" t="s">
        <v>230</v>
      </c>
    </row>
    <row r="5" customFormat="false" ht="15" hidden="false" customHeight="false" outlineLevel="0" collapsed="false">
      <c r="A5" s="9" t="s">
        <v>231</v>
      </c>
      <c r="B5" s="9" t="s">
        <v>229</v>
      </c>
      <c r="C5" s="9" t="s">
        <v>232</v>
      </c>
    </row>
    <row r="6" customFormat="false" ht="15" hidden="false" customHeight="false" outlineLevel="0" collapsed="false">
      <c r="A6" s="9" t="s">
        <v>233</v>
      </c>
      <c r="B6" s="9" t="s">
        <v>229</v>
      </c>
      <c r="C6" s="9" t="s">
        <v>234</v>
      </c>
    </row>
    <row r="7" customFormat="false" ht="15" hidden="false" customHeight="false" outlineLevel="0" collapsed="false">
      <c r="A7" s="9" t="s">
        <v>235</v>
      </c>
      <c r="B7" s="9" t="s">
        <v>236</v>
      </c>
      <c r="C7" s="9" t="s">
        <v>237</v>
      </c>
    </row>
    <row r="8" customFormat="false" ht="15" hidden="false" customHeight="false" outlineLevel="0" collapsed="false">
      <c r="A8" s="9" t="s">
        <v>238</v>
      </c>
      <c r="B8" s="9" t="s">
        <v>236</v>
      </c>
      <c r="C8" s="9" t="s">
        <v>239</v>
      </c>
    </row>
    <row r="9" customFormat="false" ht="15" hidden="false" customHeight="false" outlineLevel="0" collapsed="false">
      <c r="A9" s="9" t="s">
        <v>240</v>
      </c>
      <c r="B9" s="9" t="s">
        <v>236</v>
      </c>
      <c r="C9" s="9" t="s">
        <v>241</v>
      </c>
    </row>
    <row r="10" customFormat="false" ht="15" hidden="false" customHeight="false" outlineLevel="0" collapsed="false">
      <c r="A10" s="9" t="s">
        <v>242</v>
      </c>
      <c r="B10" s="9" t="s">
        <v>236</v>
      </c>
      <c r="C10" s="9" t="s">
        <v>243</v>
      </c>
    </row>
    <row r="11" customFormat="false" ht="15" hidden="false" customHeight="false" outlineLevel="0" collapsed="false">
      <c r="A11" s="9" t="s">
        <v>244</v>
      </c>
      <c r="B11" s="9" t="s">
        <v>236</v>
      </c>
      <c r="C11" s="9" t="s">
        <v>245</v>
      </c>
    </row>
    <row r="12" customFormat="false" ht="15" hidden="false" customHeight="false" outlineLevel="0" collapsed="false">
      <c r="A12" s="9" t="s">
        <v>246</v>
      </c>
      <c r="B12" s="9" t="s">
        <v>236</v>
      </c>
      <c r="C12" s="9" t="s">
        <v>247</v>
      </c>
    </row>
    <row r="13" customFormat="false" ht="15" hidden="false" customHeight="false" outlineLevel="0" collapsed="false">
      <c r="A13" s="9" t="s">
        <v>248</v>
      </c>
      <c r="B13" s="9" t="s">
        <v>236</v>
      </c>
      <c r="C13" s="9" t="s">
        <v>249</v>
      </c>
    </row>
    <row r="14" customFormat="false" ht="23.85" hidden="false" customHeight="false" outlineLevel="0" collapsed="false">
      <c r="A14" s="9" t="s">
        <v>250</v>
      </c>
      <c r="B14" s="9" t="s">
        <v>251</v>
      </c>
      <c r="C14" s="9" t="s">
        <v>252</v>
      </c>
    </row>
    <row r="15" customFormat="false" ht="15" hidden="false" customHeight="false" outlineLevel="0" collapsed="false">
      <c r="A15" s="9" t="s">
        <v>253</v>
      </c>
      <c r="B15" s="9" t="s">
        <v>254</v>
      </c>
      <c r="C15" s="9" t="s">
        <v>255</v>
      </c>
    </row>
  </sheetData>
  <autoFilter ref="A3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62"/>
    <col collapsed="false" customWidth="true" hidden="false" outlineLevel="0" max="4" min="4" style="0" width="23"/>
  </cols>
  <sheetData>
    <row r="1" customFormat="false" ht="15" hidden="false" customHeight="false" outlineLevel="0" collapsed="false">
      <c r="A1" s="5" t="s">
        <v>256</v>
      </c>
    </row>
    <row r="3" customFormat="false" ht="15" hidden="false" customHeight="false" outlineLevel="0" collapsed="false">
      <c r="A3" s="10" t="s">
        <v>257</v>
      </c>
      <c r="B3" s="10" t="s">
        <v>258</v>
      </c>
      <c r="C3" s="10" t="s">
        <v>259</v>
      </c>
      <c r="D3" s="10" t="s">
        <v>260</v>
      </c>
    </row>
    <row r="4" customFormat="false" ht="15" hidden="false" customHeight="false" outlineLevel="0" collapsed="false">
      <c r="A4" s="9" t="s">
        <v>261</v>
      </c>
      <c r="B4" s="9" t="s">
        <v>262</v>
      </c>
      <c r="C4" s="9" t="s">
        <v>263</v>
      </c>
      <c r="D4" s="9" t="s">
        <v>264</v>
      </c>
    </row>
    <row r="5" customFormat="false" ht="15" hidden="false" customHeight="false" outlineLevel="0" collapsed="false">
      <c r="A5" s="9" t="s">
        <v>265</v>
      </c>
      <c r="B5" s="9" t="s">
        <v>266</v>
      </c>
      <c r="C5" s="9" t="s">
        <v>267</v>
      </c>
      <c r="D5" s="9" t="s">
        <v>268</v>
      </c>
    </row>
    <row r="6" customFormat="false" ht="15" hidden="false" customHeight="false" outlineLevel="0" collapsed="false">
      <c r="A6" s="9" t="s">
        <v>269</v>
      </c>
      <c r="B6" s="9" t="s">
        <v>270</v>
      </c>
      <c r="C6" s="9" t="s">
        <v>271</v>
      </c>
      <c r="D6" s="9" t="s">
        <v>272</v>
      </c>
    </row>
    <row r="7" customFormat="false" ht="15" hidden="false" customHeight="false" outlineLevel="0" collapsed="false">
      <c r="A7" s="9" t="s">
        <v>273</v>
      </c>
      <c r="B7" s="9" t="s">
        <v>274</v>
      </c>
      <c r="C7" s="9" t="s">
        <v>275</v>
      </c>
      <c r="D7" s="9" t="s">
        <v>276</v>
      </c>
    </row>
    <row r="8" customFormat="false" ht="15" hidden="false" customHeight="false" outlineLevel="0" collapsed="false">
      <c r="A8" s="9" t="s">
        <v>277</v>
      </c>
      <c r="B8" s="9" t="s">
        <v>278</v>
      </c>
      <c r="C8" s="9" t="s">
        <v>279</v>
      </c>
      <c r="D8" s="9" t="s">
        <v>280</v>
      </c>
    </row>
    <row r="9" customFormat="false" ht="15" hidden="false" customHeight="false" outlineLevel="0" collapsed="false">
      <c r="A9" s="9" t="s">
        <v>281</v>
      </c>
      <c r="B9" s="9" t="s">
        <v>282</v>
      </c>
      <c r="C9" s="9" t="s">
        <v>283</v>
      </c>
      <c r="D9" s="9" t="s">
        <v>228</v>
      </c>
    </row>
    <row r="10" customFormat="false" ht="15" hidden="false" customHeight="false" outlineLevel="0" collapsed="false">
      <c r="A10" s="9" t="s">
        <v>284</v>
      </c>
      <c r="B10" s="9" t="s">
        <v>285</v>
      </c>
      <c r="C10" s="9" t="s">
        <v>286</v>
      </c>
      <c r="D10" s="9" t="s">
        <v>287</v>
      </c>
    </row>
    <row r="11" customFormat="false" ht="15" hidden="false" customHeight="false" outlineLevel="0" collapsed="false">
      <c r="A11" s="9" t="s">
        <v>288</v>
      </c>
      <c r="B11" s="9" t="s">
        <v>289</v>
      </c>
      <c r="C11" s="9" t="s">
        <v>290</v>
      </c>
      <c r="D11" s="9" t="s">
        <v>291</v>
      </c>
    </row>
    <row r="12" customFormat="false" ht="15" hidden="false" customHeight="false" outlineLevel="0" collapsed="false">
      <c r="A12" s="9" t="s">
        <v>292</v>
      </c>
      <c r="B12" s="9" t="s">
        <v>293</v>
      </c>
      <c r="C12" s="9" t="s">
        <v>294</v>
      </c>
      <c r="D12" s="9" t="s">
        <v>295</v>
      </c>
    </row>
  </sheetData>
  <autoFilter ref="A3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2"/>
    <col collapsed="false" customWidth="true" hidden="false" outlineLevel="0" max="3" min="3" style="0" width="33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296</v>
      </c>
    </row>
    <row r="3" customFormat="false" ht="15" hidden="false" customHeight="false" outlineLevel="0" collapsed="false">
      <c r="A3" s="10" t="s">
        <v>135</v>
      </c>
      <c r="B3" s="10" t="s">
        <v>257</v>
      </c>
      <c r="C3" s="10" t="s">
        <v>297</v>
      </c>
      <c r="D3" s="10" t="s">
        <v>154</v>
      </c>
      <c r="E3" s="10" t="s">
        <v>298</v>
      </c>
    </row>
    <row r="4" customFormat="false" ht="15" hidden="false" customHeight="false" outlineLevel="0" collapsed="false">
      <c r="A4" s="9" t="s">
        <v>30</v>
      </c>
      <c r="B4" s="9" t="s">
        <v>299</v>
      </c>
      <c r="C4" s="9" t="s">
        <v>300</v>
      </c>
      <c r="D4" s="9" t="s">
        <v>301</v>
      </c>
      <c r="E4" s="9" t="s">
        <v>18</v>
      </c>
    </row>
    <row r="5" customFormat="false" ht="15" hidden="false" customHeight="false" outlineLevel="0" collapsed="false">
      <c r="A5" s="9" t="s">
        <v>30</v>
      </c>
      <c r="B5" s="9" t="s">
        <v>302</v>
      </c>
      <c r="C5" s="9" t="s">
        <v>303</v>
      </c>
      <c r="D5" s="9" t="s">
        <v>304</v>
      </c>
      <c r="E5" s="9" t="s">
        <v>18</v>
      </c>
    </row>
    <row r="6" customFormat="false" ht="15" hidden="false" customHeight="false" outlineLevel="0" collapsed="false">
      <c r="A6" s="9" t="s">
        <v>30</v>
      </c>
      <c r="B6" s="9" t="s">
        <v>305</v>
      </c>
      <c r="C6" s="9" t="s">
        <v>306</v>
      </c>
      <c r="D6" s="9" t="s">
        <v>307</v>
      </c>
      <c r="E6" s="9" t="s">
        <v>18</v>
      </c>
    </row>
    <row r="7" customFormat="false" ht="15" hidden="false" customHeight="false" outlineLevel="0" collapsed="false">
      <c r="A7" s="9" t="s">
        <v>30</v>
      </c>
      <c r="B7" s="9" t="s">
        <v>308</v>
      </c>
      <c r="C7" s="9" t="s">
        <v>309</v>
      </c>
      <c r="D7" s="9" t="s">
        <v>310</v>
      </c>
      <c r="E7" s="9" t="s">
        <v>18</v>
      </c>
    </row>
    <row r="8" customFormat="false" ht="15" hidden="false" customHeight="false" outlineLevel="0" collapsed="false">
      <c r="A8" s="9" t="s">
        <v>30</v>
      </c>
      <c r="B8" s="9" t="s">
        <v>311</v>
      </c>
      <c r="C8" s="9" t="s">
        <v>312</v>
      </c>
      <c r="D8" s="9" t="s">
        <v>313</v>
      </c>
      <c r="E8" s="9" t="s">
        <v>20</v>
      </c>
    </row>
    <row r="9" customFormat="false" ht="15" hidden="false" customHeight="false" outlineLevel="0" collapsed="false">
      <c r="A9" s="9" t="s">
        <v>30</v>
      </c>
      <c r="B9" s="9" t="s">
        <v>314</v>
      </c>
      <c r="C9" s="9" t="s">
        <v>315</v>
      </c>
      <c r="D9" s="9" t="s">
        <v>316</v>
      </c>
      <c r="E9" s="9" t="s">
        <v>18</v>
      </c>
    </row>
    <row r="10" customFormat="false" ht="15" hidden="false" customHeight="false" outlineLevel="0" collapsed="false">
      <c r="A10" s="9" t="s">
        <v>30</v>
      </c>
      <c r="B10" s="9" t="s">
        <v>317</v>
      </c>
      <c r="C10" s="9" t="s">
        <v>318</v>
      </c>
      <c r="D10" s="9" t="s">
        <v>319</v>
      </c>
      <c r="E10" s="9" t="s">
        <v>18</v>
      </c>
    </row>
    <row r="11" customFormat="false" ht="15" hidden="false" customHeight="false" outlineLevel="0" collapsed="false">
      <c r="A11" s="9" t="s">
        <v>30</v>
      </c>
      <c r="B11" s="9" t="s">
        <v>320</v>
      </c>
      <c r="C11" s="9" t="s">
        <v>321</v>
      </c>
      <c r="D11" s="9" t="s">
        <v>322</v>
      </c>
      <c r="E11" s="9" t="s">
        <v>18</v>
      </c>
    </row>
    <row r="12" customFormat="false" ht="15" hidden="false" customHeight="false" outlineLevel="0" collapsed="false">
      <c r="A12" s="9" t="s">
        <v>30</v>
      </c>
      <c r="B12" s="9" t="s">
        <v>323</v>
      </c>
      <c r="C12" s="9" t="s">
        <v>324</v>
      </c>
      <c r="D12" s="9" t="s">
        <v>325</v>
      </c>
      <c r="E12" s="9" t="s">
        <v>18</v>
      </c>
    </row>
    <row r="13" customFormat="false" ht="15" hidden="false" customHeight="false" outlineLevel="0" collapsed="false">
      <c r="A13" s="9" t="s">
        <v>30</v>
      </c>
      <c r="B13" s="9" t="s">
        <v>326</v>
      </c>
      <c r="C13" s="9" t="s">
        <v>327</v>
      </c>
      <c r="D13" s="9" t="s">
        <v>328</v>
      </c>
      <c r="E13" s="9" t="s">
        <v>18</v>
      </c>
    </row>
    <row r="14" customFormat="false" ht="15" hidden="false" customHeight="false" outlineLevel="0" collapsed="false">
      <c r="A14" s="9" t="s">
        <v>30</v>
      </c>
      <c r="B14" s="9" t="s">
        <v>329</v>
      </c>
      <c r="C14" s="9" t="s">
        <v>330</v>
      </c>
      <c r="D14" s="9" t="s">
        <v>331</v>
      </c>
      <c r="E14" s="9" t="s">
        <v>18</v>
      </c>
    </row>
    <row r="15" customFormat="false" ht="15" hidden="false" customHeight="false" outlineLevel="0" collapsed="false">
      <c r="A15" s="9" t="s">
        <v>30</v>
      </c>
      <c r="B15" s="9" t="s">
        <v>332</v>
      </c>
      <c r="C15" s="9" t="s">
        <v>333</v>
      </c>
      <c r="D15" s="9" t="s">
        <v>334</v>
      </c>
      <c r="E15" s="9" t="s">
        <v>20</v>
      </c>
    </row>
    <row r="16" customFormat="false" ht="15" hidden="false" customHeight="false" outlineLevel="0" collapsed="false">
      <c r="A16" s="9" t="s">
        <v>30</v>
      </c>
      <c r="B16" s="9" t="s">
        <v>335</v>
      </c>
      <c r="C16" s="9" t="s">
        <v>336</v>
      </c>
      <c r="D16" s="9" t="s">
        <v>337</v>
      </c>
      <c r="E16" s="9" t="s">
        <v>20</v>
      </c>
    </row>
    <row r="17" customFormat="false" ht="15" hidden="false" customHeight="false" outlineLevel="0" collapsed="false">
      <c r="A17" s="9" t="s">
        <v>30</v>
      </c>
      <c r="B17" s="9" t="s">
        <v>338</v>
      </c>
      <c r="C17" s="9" t="s">
        <v>339</v>
      </c>
      <c r="D17" s="9" t="s">
        <v>340</v>
      </c>
      <c r="E17" s="9" t="s">
        <v>22</v>
      </c>
    </row>
    <row r="18" customFormat="false" ht="15" hidden="false" customHeight="false" outlineLevel="0" collapsed="false">
      <c r="A18" s="9" t="s">
        <v>31</v>
      </c>
      <c r="B18" s="9" t="s">
        <v>341</v>
      </c>
      <c r="C18" s="9" t="s">
        <v>342</v>
      </c>
      <c r="D18" s="9" t="s">
        <v>343</v>
      </c>
      <c r="E18" s="9" t="s">
        <v>18</v>
      </c>
    </row>
    <row r="19" customFormat="false" ht="15" hidden="false" customHeight="false" outlineLevel="0" collapsed="false">
      <c r="A19" s="9" t="s">
        <v>31</v>
      </c>
      <c r="B19" s="9" t="s">
        <v>344</v>
      </c>
      <c r="C19" s="9" t="s">
        <v>345</v>
      </c>
      <c r="D19" s="9" t="s">
        <v>346</v>
      </c>
      <c r="E19" s="9" t="s">
        <v>18</v>
      </c>
    </row>
    <row r="20" customFormat="false" ht="15" hidden="false" customHeight="false" outlineLevel="0" collapsed="false">
      <c r="A20" s="9" t="s">
        <v>31</v>
      </c>
      <c r="B20" s="9" t="s">
        <v>347</v>
      </c>
      <c r="C20" s="9" t="s">
        <v>348</v>
      </c>
      <c r="D20" s="9" t="s">
        <v>349</v>
      </c>
      <c r="E20" s="9" t="s">
        <v>18</v>
      </c>
    </row>
    <row r="21" customFormat="false" ht="15" hidden="false" customHeight="false" outlineLevel="0" collapsed="false">
      <c r="A21" s="9" t="s">
        <v>31</v>
      </c>
      <c r="B21" s="9" t="s">
        <v>350</v>
      </c>
      <c r="C21" s="9" t="s">
        <v>351</v>
      </c>
      <c r="D21" s="9" t="s">
        <v>352</v>
      </c>
      <c r="E21" s="9" t="s">
        <v>18</v>
      </c>
    </row>
    <row r="22" customFormat="false" ht="15" hidden="false" customHeight="false" outlineLevel="0" collapsed="false">
      <c r="A22" s="9" t="s">
        <v>31</v>
      </c>
      <c r="B22" s="9" t="s">
        <v>353</v>
      </c>
      <c r="C22" s="9" t="s">
        <v>354</v>
      </c>
      <c r="D22" s="9" t="s">
        <v>355</v>
      </c>
      <c r="E22" s="9" t="s">
        <v>18</v>
      </c>
    </row>
    <row r="23" customFormat="false" ht="15" hidden="false" customHeight="false" outlineLevel="0" collapsed="false">
      <c r="A23" s="9" t="s">
        <v>31</v>
      </c>
      <c r="B23" s="9" t="s">
        <v>356</v>
      </c>
      <c r="C23" s="9" t="s">
        <v>357</v>
      </c>
      <c r="D23" s="9" t="s">
        <v>358</v>
      </c>
      <c r="E23" s="9" t="s">
        <v>20</v>
      </c>
    </row>
    <row r="24" customFormat="false" ht="15" hidden="false" customHeight="false" outlineLevel="0" collapsed="false">
      <c r="A24" s="9" t="s">
        <v>31</v>
      </c>
      <c r="B24" s="9" t="s">
        <v>359</v>
      </c>
      <c r="C24" s="9" t="s">
        <v>360</v>
      </c>
      <c r="D24" s="9" t="s">
        <v>361</v>
      </c>
      <c r="E24" s="9" t="s">
        <v>20</v>
      </c>
    </row>
    <row r="25" customFormat="false" ht="15" hidden="false" customHeight="false" outlineLevel="0" collapsed="false">
      <c r="A25" s="9" t="s">
        <v>31</v>
      </c>
      <c r="B25" s="9" t="s">
        <v>362</v>
      </c>
      <c r="C25" s="9" t="s">
        <v>363</v>
      </c>
      <c r="D25" s="9" t="s">
        <v>364</v>
      </c>
      <c r="E25" s="9" t="s">
        <v>22</v>
      </c>
    </row>
    <row r="26" customFormat="false" ht="15" hidden="false" customHeight="false" outlineLevel="0" collapsed="false">
      <c r="A26" s="9" t="s">
        <v>31</v>
      </c>
      <c r="B26" s="9" t="s">
        <v>365</v>
      </c>
      <c r="C26" s="9" t="s">
        <v>366</v>
      </c>
      <c r="D26" s="9" t="s">
        <v>367</v>
      </c>
      <c r="E26" s="9" t="s">
        <v>20</v>
      </c>
    </row>
    <row r="27" customFormat="false" ht="15" hidden="false" customHeight="false" outlineLevel="0" collapsed="false">
      <c r="A27" s="9" t="s">
        <v>31</v>
      </c>
      <c r="B27" s="9" t="s">
        <v>368</v>
      </c>
      <c r="C27" s="9" t="s">
        <v>369</v>
      </c>
      <c r="D27" s="9" t="s">
        <v>370</v>
      </c>
      <c r="E27" s="9" t="s">
        <v>22</v>
      </c>
    </row>
    <row r="28" customFormat="false" ht="15" hidden="false" customHeight="false" outlineLevel="0" collapsed="false">
      <c r="A28" s="9" t="s">
        <v>32</v>
      </c>
      <c r="B28" s="9" t="s">
        <v>371</v>
      </c>
      <c r="C28" s="9" t="s">
        <v>372</v>
      </c>
      <c r="D28" s="9" t="s">
        <v>373</v>
      </c>
      <c r="E28" s="9" t="s">
        <v>18</v>
      </c>
    </row>
    <row r="29" customFormat="false" ht="15" hidden="false" customHeight="false" outlineLevel="0" collapsed="false">
      <c r="A29" s="9" t="s">
        <v>32</v>
      </c>
      <c r="B29" s="9" t="s">
        <v>374</v>
      </c>
      <c r="C29" s="9" t="s">
        <v>375</v>
      </c>
      <c r="D29" s="9" t="s">
        <v>376</v>
      </c>
      <c r="E29" s="9" t="s">
        <v>18</v>
      </c>
    </row>
    <row r="30" customFormat="false" ht="23.85" hidden="false" customHeight="false" outlineLevel="0" collapsed="false">
      <c r="A30" s="9" t="s">
        <v>32</v>
      </c>
      <c r="B30" s="9" t="s">
        <v>377</v>
      </c>
      <c r="C30" s="9" t="s">
        <v>378</v>
      </c>
      <c r="D30" s="9" t="s">
        <v>379</v>
      </c>
      <c r="E30" s="9" t="s">
        <v>18</v>
      </c>
    </row>
    <row r="31" customFormat="false" ht="15" hidden="false" customHeight="false" outlineLevel="0" collapsed="false">
      <c r="A31" s="9" t="s">
        <v>32</v>
      </c>
      <c r="B31" s="9" t="s">
        <v>380</v>
      </c>
      <c r="C31" s="9" t="s">
        <v>381</v>
      </c>
      <c r="D31" s="9" t="s">
        <v>382</v>
      </c>
      <c r="E31" s="9" t="s">
        <v>20</v>
      </c>
    </row>
    <row r="32" customFormat="false" ht="15" hidden="false" customHeight="false" outlineLevel="0" collapsed="false">
      <c r="A32" s="9" t="s">
        <v>32</v>
      </c>
      <c r="B32" s="9" t="s">
        <v>383</v>
      </c>
      <c r="C32" s="9" t="s">
        <v>384</v>
      </c>
      <c r="D32" s="9" t="s">
        <v>385</v>
      </c>
      <c r="E32" s="9" t="s">
        <v>18</v>
      </c>
    </row>
    <row r="33" customFormat="false" ht="15" hidden="false" customHeight="false" outlineLevel="0" collapsed="false">
      <c r="A33" s="9" t="s">
        <v>32</v>
      </c>
      <c r="B33" s="9" t="s">
        <v>386</v>
      </c>
      <c r="C33" s="9" t="s">
        <v>387</v>
      </c>
      <c r="D33" s="9" t="s">
        <v>388</v>
      </c>
      <c r="E33" s="9" t="s">
        <v>18</v>
      </c>
    </row>
    <row r="34" customFormat="false" ht="15" hidden="false" customHeight="false" outlineLevel="0" collapsed="false">
      <c r="A34" s="9" t="s">
        <v>32</v>
      </c>
      <c r="B34" s="9" t="s">
        <v>389</v>
      </c>
      <c r="C34" s="9" t="s">
        <v>390</v>
      </c>
      <c r="D34" s="9" t="s">
        <v>391</v>
      </c>
      <c r="E34" s="9" t="s">
        <v>18</v>
      </c>
    </row>
    <row r="35" customFormat="false" ht="15" hidden="false" customHeight="false" outlineLevel="0" collapsed="false">
      <c r="A35" s="9" t="s">
        <v>32</v>
      </c>
      <c r="B35" s="9" t="s">
        <v>392</v>
      </c>
      <c r="C35" s="9" t="s">
        <v>393</v>
      </c>
      <c r="D35" s="9" t="s">
        <v>394</v>
      </c>
      <c r="E35" s="9" t="s">
        <v>20</v>
      </c>
    </row>
    <row r="36" customFormat="false" ht="15" hidden="false" customHeight="false" outlineLevel="0" collapsed="false">
      <c r="A36" s="9" t="s">
        <v>32</v>
      </c>
      <c r="B36" s="9" t="s">
        <v>395</v>
      </c>
      <c r="C36" s="9" t="s">
        <v>396</v>
      </c>
      <c r="D36" s="9" t="s">
        <v>397</v>
      </c>
      <c r="E36" s="9" t="s">
        <v>22</v>
      </c>
    </row>
    <row r="37" customFormat="false" ht="15" hidden="false" customHeight="false" outlineLevel="0" collapsed="false">
      <c r="A37" s="9" t="s">
        <v>33</v>
      </c>
      <c r="B37" s="9" t="s">
        <v>398</v>
      </c>
      <c r="C37" s="9" t="s">
        <v>399</v>
      </c>
      <c r="D37" s="9" t="s">
        <v>400</v>
      </c>
      <c r="E37" s="9" t="s">
        <v>18</v>
      </c>
    </row>
    <row r="38" customFormat="false" ht="23.85" hidden="false" customHeight="false" outlineLevel="0" collapsed="false">
      <c r="A38" s="9" t="s">
        <v>33</v>
      </c>
      <c r="B38" s="9" t="s">
        <v>401</v>
      </c>
      <c r="C38" s="9" t="s">
        <v>402</v>
      </c>
      <c r="D38" s="9" t="s">
        <v>403</v>
      </c>
      <c r="E38" s="9" t="s">
        <v>18</v>
      </c>
    </row>
    <row r="39" customFormat="false" ht="15" hidden="false" customHeight="false" outlineLevel="0" collapsed="false">
      <c r="A39" s="9" t="s">
        <v>33</v>
      </c>
      <c r="B39" s="9" t="s">
        <v>404</v>
      </c>
      <c r="C39" s="9" t="s">
        <v>405</v>
      </c>
      <c r="D39" s="9" t="s">
        <v>406</v>
      </c>
      <c r="E39" s="9" t="s">
        <v>20</v>
      </c>
    </row>
    <row r="40" customFormat="false" ht="15" hidden="false" customHeight="false" outlineLevel="0" collapsed="false">
      <c r="A40" s="9" t="s">
        <v>33</v>
      </c>
      <c r="B40" s="9" t="s">
        <v>407</v>
      </c>
      <c r="C40" s="9" t="s">
        <v>408</v>
      </c>
      <c r="D40" s="9" t="s">
        <v>409</v>
      </c>
      <c r="E40" s="9" t="s">
        <v>20</v>
      </c>
    </row>
    <row r="41" customFormat="false" ht="15" hidden="false" customHeight="false" outlineLevel="0" collapsed="false">
      <c r="A41" s="9" t="s">
        <v>33</v>
      </c>
      <c r="B41" s="9" t="s">
        <v>410</v>
      </c>
      <c r="C41" s="9" t="s">
        <v>411</v>
      </c>
      <c r="D41" s="9" t="s">
        <v>412</v>
      </c>
      <c r="E41" s="9" t="s">
        <v>20</v>
      </c>
    </row>
    <row r="42" customFormat="false" ht="15" hidden="false" customHeight="false" outlineLevel="0" collapsed="false">
      <c r="A42" s="9" t="s">
        <v>33</v>
      </c>
      <c r="B42" s="9" t="s">
        <v>413</v>
      </c>
      <c r="C42" s="9" t="s">
        <v>414</v>
      </c>
      <c r="D42" s="9" t="s">
        <v>415</v>
      </c>
      <c r="E42" s="9" t="s">
        <v>20</v>
      </c>
    </row>
    <row r="43" customFormat="false" ht="15" hidden="false" customHeight="false" outlineLevel="0" collapsed="false">
      <c r="A43" s="9" t="s">
        <v>33</v>
      </c>
      <c r="B43" s="9" t="s">
        <v>416</v>
      </c>
      <c r="C43" s="9" t="s">
        <v>417</v>
      </c>
      <c r="D43" s="9" t="s">
        <v>418</v>
      </c>
      <c r="E43" s="9" t="s">
        <v>22</v>
      </c>
    </row>
    <row r="44" customFormat="false" ht="15" hidden="false" customHeight="false" outlineLevel="0" collapsed="false">
      <c r="A44" s="9" t="s">
        <v>33</v>
      </c>
      <c r="B44" s="9" t="s">
        <v>419</v>
      </c>
      <c r="C44" s="9" t="s">
        <v>420</v>
      </c>
      <c r="D44" s="9" t="s">
        <v>421</v>
      </c>
      <c r="E44" s="9" t="s">
        <v>22</v>
      </c>
    </row>
    <row r="45" customFormat="false" ht="15" hidden="false" customHeight="false" outlineLevel="0" collapsed="false">
      <c r="A45" s="9" t="s">
        <v>34</v>
      </c>
      <c r="B45" s="9" t="s">
        <v>422</v>
      </c>
      <c r="C45" s="9" t="s">
        <v>423</v>
      </c>
      <c r="D45" s="9" t="s">
        <v>424</v>
      </c>
      <c r="E45" s="9" t="s">
        <v>18</v>
      </c>
    </row>
    <row r="46" customFormat="false" ht="15" hidden="false" customHeight="false" outlineLevel="0" collapsed="false">
      <c r="A46" s="9" t="s">
        <v>34</v>
      </c>
      <c r="B46" s="9" t="s">
        <v>425</v>
      </c>
      <c r="C46" s="9" t="s">
        <v>426</v>
      </c>
      <c r="D46" s="9" t="s">
        <v>427</v>
      </c>
      <c r="E46" s="9" t="s">
        <v>18</v>
      </c>
    </row>
    <row r="47" customFormat="false" ht="15" hidden="false" customHeight="false" outlineLevel="0" collapsed="false">
      <c r="A47" s="9" t="s">
        <v>34</v>
      </c>
      <c r="B47" s="9" t="s">
        <v>428</v>
      </c>
      <c r="C47" s="9" t="s">
        <v>429</v>
      </c>
      <c r="D47" s="9" t="s">
        <v>430</v>
      </c>
      <c r="E47" s="9" t="s">
        <v>18</v>
      </c>
    </row>
    <row r="48" customFormat="false" ht="15" hidden="false" customHeight="false" outlineLevel="0" collapsed="false">
      <c r="A48" s="9" t="s">
        <v>34</v>
      </c>
      <c r="B48" s="9" t="s">
        <v>431</v>
      </c>
      <c r="C48" s="9" t="s">
        <v>432</v>
      </c>
      <c r="D48" s="9" t="s">
        <v>433</v>
      </c>
      <c r="E48" s="9" t="s">
        <v>20</v>
      </c>
    </row>
    <row r="49" customFormat="false" ht="15" hidden="false" customHeight="false" outlineLevel="0" collapsed="false">
      <c r="A49" s="9" t="s">
        <v>34</v>
      </c>
      <c r="B49" s="9" t="s">
        <v>434</v>
      </c>
      <c r="C49" s="9" t="s">
        <v>435</v>
      </c>
      <c r="D49" s="9" t="s">
        <v>436</v>
      </c>
      <c r="E49" s="9" t="s">
        <v>18</v>
      </c>
    </row>
    <row r="50" customFormat="false" ht="15" hidden="false" customHeight="false" outlineLevel="0" collapsed="false">
      <c r="A50" s="9" t="s">
        <v>34</v>
      </c>
      <c r="B50" s="9" t="s">
        <v>437</v>
      </c>
      <c r="C50" s="9" t="s">
        <v>438</v>
      </c>
      <c r="D50" s="9" t="s">
        <v>439</v>
      </c>
      <c r="E50" s="9" t="s">
        <v>18</v>
      </c>
    </row>
    <row r="51" customFormat="false" ht="15" hidden="false" customHeight="false" outlineLevel="0" collapsed="false">
      <c r="A51" s="9" t="s">
        <v>34</v>
      </c>
      <c r="B51" s="9" t="s">
        <v>440</v>
      </c>
      <c r="C51" s="9" t="s">
        <v>441</v>
      </c>
      <c r="D51" s="9" t="s">
        <v>442</v>
      </c>
      <c r="E51" s="9" t="s">
        <v>20</v>
      </c>
    </row>
    <row r="52" customFormat="false" ht="15" hidden="false" customHeight="false" outlineLevel="0" collapsed="false">
      <c r="A52" s="9" t="s">
        <v>34</v>
      </c>
      <c r="B52" s="9" t="s">
        <v>443</v>
      </c>
      <c r="C52" s="9" t="s">
        <v>444</v>
      </c>
      <c r="D52" s="9" t="s">
        <v>445</v>
      </c>
      <c r="E52" s="9" t="s">
        <v>18</v>
      </c>
    </row>
  </sheetData>
  <autoFilter ref="A3:E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41"/>
  </cols>
  <sheetData>
    <row r="1" customFormat="false" ht="15" hidden="false" customHeight="false" outlineLevel="0" collapsed="false">
      <c r="A1" s="5" t="s">
        <v>446</v>
      </c>
    </row>
    <row r="3" customFormat="false" ht="15" hidden="false" customHeight="false" outlineLevel="0" collapsed="false">
      <c r="A3" s="10" t="s">
        <v>135</v>
      </c>
      <c r="B3" s="10" t="s">
        <v>447</v>
      </c>
      <c r="C3" s="10" t="s">
        <v>448</v>
      </c>
    </row>
    <row r="4" customFormat="false" ht="15" hidden="false" customHeight="false" outlineLevel="0" collapsed="false">
      <c r="A4" s="9" t="s">
        <v>449</v>
      </c>
      <c r="B4" s="9" t="s">
        <v>450</v>
      </c>
      <c r="C4" s="9" t="s">
        <v>451</v>
      </c>
    </row>
    <row r="5" customFormat="false" ht="15" hidden="false" customHeight="false" outlineLevel="0" collapsed="false">
      <c r="A5" s="9" t="s">
        <v>452</v>
      </c>
      <c r="B5" s="9" t="s">
        <v>453</v>
      </c>
      <c r="C5" s="9" t="s">
        <v>454</v>
      </c>
    </row>
    <row r="6" customFormat="false" ht="15" hidden="false" customHeight="false" outlineLevel="0" collapsed="false">
      <c r="A6" s="9" t="s">
        <v>455</v>
      </c>
      <c r="B6" s="9" t="s">
        <v>456</v>
      </c>
      <c r="C6" s="9" t="s">
        <v>457</v>
      </c>
    </row>
    <row r="7" customFormat="false" ht="15" hidden="false" customHeight="false" outlineLevel="0" collapsed="false">
      <c r="A7" s="9" t="s">
        <v>458</v>
      </c>
      <c r="B7" s="9" t="s">
        <v>459</v>
      </c>
      <c r="C7" s="9" t="s">
        <v>460</v>
      </c>
    </row>
    <row r="8" customFormat="false" ht="23.85" hidden="false" customHeight="false" outlineLevel="0" collapsed="false">
      <c r="A8" s="9" t="s">
        <v>461</v>
      </c>
      <c r="B8" s="9" t="s">
        <v>462</v>
      </c>
      <c r="C8" s="9" t="s">
        <v>463</v>
      </c>
    </row>
    <row r="9" customFormat="false" ht="15" hidden="false" customHeight="false" outlineLevel="0" collapsed="false">
      <c r="A9" s="9" t="s">
        <v>464</v>
      </c>
      <c r="B9" s="9" t="s">
        <v>465</v>
      </c>
      <c r="C9" s="9" t="s">
        <v>466</v>
      </c>
    </row>
    <row r="10" customFormat="false" ht="15" hidden="false" customHeight="false" outlineLevel="0" collapsed="false">
      <c r="A10" s="9" t="s">
        <v>244</v>
      </c>
      <c r="B10" s="9" t="s">
        <v>467</v>
      </c>
      <c r="C10" s="9" t="s">
        <v>468</v>
      </c>
    </row>
  </sheetData>
  <autoFilter ref="A3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2"/>
  </cols>
  <sheetData>
    <row r="1" customFormat="false" ht="15" hidden="false" customHeight="false" outlineLevel="0" collapsed="false">
      <c r="A1" s="5" t="s">
        <v>469</v>
      </c>
    </row>
    <row r="3" customFormat="false" ht="15" hidden="false" customHeight="false" outlineLevel="0" collapsed="false">
      <c r="A3" s="10" t="s">
        <v>257</v>
      </c>
      <c r="B3" s="10" t="s">
        <v>470</v>
      </c>
      <c r="C3" s="10" t="s">
        <v>471</v>
      </c>
    </row>
    <row r="4" customFormat="false" ht="23.85" hidden="false" customHeight="false" outlineLevel="0" collapsed="false">
      <c r="A4" s="9" t="s">
        <v>472</v>
      </c>
      <c r="B4" s="9" t="s">
        <v>473</v>
      </c>
      <c r="C4" s="9" t="s">
        <v>474</v>
      </c>
    </row>
    <row r="5" customFormat="false" ht="23.85" hidden="false" customHeight="false" outlineLevel="0" collapsed="false">
      <c r="A5" s="9" t="s">
        <v>475</v>
      </c>
      <c r="B5" s="9" t="s">
        <v>476</v>
      </c>
      <c r="C5" s="9" t="s">
        <v>477</v>
      </c>
    </row>
    <row r="6" customFormat="false" ht="15" hidden="false" customHeight="false" outlineLevel="0" collapsed="false">
      <c r="A6" s="9" t="s">
        <v>478</v>
      </c>
      <c r="B6" s="9" t="s">
        <v>479</v>
      </c>
      <c r="C6" s="9" t="s">
        <v>480</v>
      </c>
    </row>
    <row r="7" customFormat="false" ht="15" hidden="false" customHeight="false" outlineLevel="0" collapsed="false">
      <c r="A7" s="9" t="s">
        <v>481</v>
      </c>
      <c r="B7" s="9" t="s">
        <v>482</v>
      </c>
      <c r="C7" s="9" t="s">
        <v>483</v>
      </c>
    </row>
    <row r="8" customFormat="false" ht="15" hidden="false" customHeight="false" outlineLevel="0" collapsed="false">
      <c r="A8" s="9" t="s">
        <v>484</v>
      </c>
      <c r="B8" s="9" t="s">
        <v>485</v>
      </c>
      <c r="C8" s="9" t="s">
        <v>486</v>
      </c>
    </row>
  </sheetData>
  <autoFilter ref="A3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7"/>
    <col collapsed="false" customWidth="true" hidden="false" outlineLevel="0" max="3" min="3" style="0" width="42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5" t="s">
        <v>487</v>
      </c>
    </row>
    <row r="3" customFormat="false" ht="15" hidden="false" customHeight="false" outlineLevel="0" collapsed="false">
      <c r="A3" s="10" t="s">
        <v>257</v>
      </c>
      <c r="B3" s="10" t="s">
        <v>488</v>
      </c>
      <c r="C3" s="10" t="s">
        <v>489</v>
      </c>
      <c r="D3" s="10" t="s">
        <v>490</v>
      </c>
    </row>
    <row r="4" customFormat="false" ht="15" hidden="false" customHeight="false" outlineLevel="0" collapsed="false">
      <c r="A4" s="9" t="s">
        <v>491</v>
      </c>
      <c r="B4" s="9" t="s">
        <v>492</v>
      </c>
      <c r="C4" s="9" t="s">
        <v>493</v>
      </c>
      <c r="D4" s="9" t="s">
        <v>494</v>
      </c>
    </row>
    <row r="5" customFormat="false" ht="15" hidden="false" customHeight="false" outlineLevel="0" collapsed="false">
      <c r="A5" s="9" t="s">
        <v>495</v>
      </c>
      <c r="B5" s="9" t="s">
        <v>496</v>
      </c>
      <c r="C5" s="9" t="s">
        <v>497</v>
      </c>
      <c r="D5" s="9" t="s">
        <v>498</v>
      </c>
    </row>
    <row r="6" customFormat="false" ht="23.85" hidden="false" customHeight="false" outlineLevel="0" collapsed="false">
      <c r="A6" s="9" t="s">
        <v>499</v>
      </c>
      <c r="B6" s="9" t="s">
        <v>500</v>
      </c>
      <c r="C6" s="9" t="s">
        <v>501</v>
      </c>
      <c r="D6" s="9" t="s">
        <v>502</v>
      </c>
    </row>
    <row r="7" customFormat="false" ht="15" hidden="false" customHeight="false" outlineLevel="0" collapsed="false">
      <c r="A7" s="9" t="s">
        <v>503</v>
      </c>
      <c r="B7" s="9" t="s">
        <v>504</v>
      </c>
      <c r="C7" s="9" t="s">
        <v>505</v>
      </c>
      <c r="D7" s="9" t="s">
        <v>506</v>
      </c>
    </row>
    <row r="8" customFormat="false" ht="15" hidden="false" customHeight="false" outlineLevel="0" collapsed="false">
      <c r="A8" s="9" t="s">
        <v>507</v>
      </c>
      <c r="B8" s="9" t="s">
        <v>508</v>
      </c>
      <c r="C8" s="9" t="s">
        <v>509</v>
      </c>
      <c r="D8" s="9" t="s">
        <v>510</v>
      </c>
    </row>
    <row r="9" customFormat="false" ht="15" hidden="false" customHeight="false" outlineLevel="0" collapsed="false">
      <c r="A9" s="9" t="s">
        <v>511</v>
      </c>
      <c r="B9" s="9" t="s">
        <v>512</v>
      </c>
      <c r="C9" s="9" t="s">
        <v>513</v>
      </c>
      <c r="D9" s="9" t="s">
        <v>514</v>
      </c>
    </row>
  </sheetData>
  <autoFilter ref="A3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2"/>
  </cols>
  <sheetData>
    <row r="1" customFormat="false" ht="15" hidden="false" customHeight="false" outlineLevel="0" collapsed="false">
      <c r="A1" s="5" t="s">
        <v>515</v>
      </c>
    </row>
    <row r="3" customFormat="false" ht="15" hidden="false" customHeight="false" outlineLevel="0" collapsed="false">
      <c r="A3" s="10" t="s">
        <v>516</v>
      </c>
      <c r="B3" s="10" t="s">
        <v>517</v>
      </c>
    </row>
    <row r="4" customFormat="false" ht="23.85" hidden="false" customHeight="false" outlineLevel="0" collapsed="false">
      <c r="A4" s="9" t="s">
        <v>518</v>
      </c>
      <c r="B4" s="9" t="s">
        <v>519</v>
      </c>
    </row>
    <row r="5" customFormat="false" ht="23.85" hidden="false" customHeight="false" outlineLevel="0" collapsed="false">
      <c r="A5" s="9" t="s">
        <v>520</v>
      </c>
      <c r="B5" s="9" t="s">
        <v>521</v>
      </c>
    </row>
    <row r="6" customFormat="false" ht="23.85" hidden="false" customHeight="false" outlineLevel="0" collapsed="false">
      <c r="A6" s="9" t="s">
        <v>522</v>
      </c>
      <c r="B6" s="9" t="s">
        <v>523</v>
      </c>
    </row>
    <row r="7" customFormat="false" ht="15" hidden="false" customHeight="false" outlineLevel="0" collapsed="false">
      <c r="A7" s="9" t="s">
        <v>524</v>
      </c>
      <c r="B7" s="9" t="s">
        <v>525</v>
      </c>
    </row>
    <row r="8" customFormat="false" ht="23.85" hidden="false" customHeight="false" outlineLevel="0" collapsed="false">
      <c r="A8" s="9" t="s">
        <v>526</v>
      </c>
      <c r="B8" s="9" t="s">
        <v>527</v>
      </c>
    </row>
    <row r="9" customFormat="false" ht="23.85" hidden="false" customHeight="false" outlineLevel="0" collapsed="false">
      <c r="A9" s="9" t="s">
        <v>528</v>
      </c>
      <c r="B9" s="9" t="s">
        <v>529</v>
      </c>
    </row>
    <row r="10" customFormat="false" ht="23.85" hidden="false" customHeight="false" outlineLevel="0" collapsed="false">
      <c r="A10" s="9" t="s">
        <v>530</v>
      </c>
      <c r="B10" s="9" t="s">
        <v>531</v>
      </c>
    </row>
  </sheetData>
  <autoFilter ref="A3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2026-09-19T11:22:06Z</dcterms:created>
  <dc:creator>openpyxl</dc:creator>
  <dc:description/>
  <dc:language>en-US</dc:language>
  <cp:lastModifiedBy/>
  <dcterms:modified xsi:type="dcterms:W3CDTF">2026-09-19T11:22:06Z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